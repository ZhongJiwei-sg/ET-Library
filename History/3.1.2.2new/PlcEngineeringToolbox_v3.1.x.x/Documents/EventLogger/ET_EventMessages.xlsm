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queryTables/queryTable1.xml" ContentType="application/vnd.openxmlformats-officedocument.spreadsheetml.queryTable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Projects\_DS\04_Application\Software\ET_Lib\PlcEngineeringToolbox_v3.1.x.x\Documents\EventLogger\"/>
    </mc:Choice>
  </mc:AlternateContent>
  <xr:revisionPtr revIDLastSave="0" documentId="13_ncr:1_{3B06FA79-41D2-418F-A102-3BDA004EE1EC}" xr6:coauthVersionLast="47" xr6:coauthVersionMax="47" xr10:uidLastSave="{00000000-0000-0000-0000-000000000000}"/>
  <bookViews>
    <workbookView xWindow="-110" yWindow="-110" windowWidth="38620" windowHeight="21360" tabRatio="946" xr2:uid="{00000000-000D-0000-FFFF-FFFF00000000}"/>
  </bookViews>
  <sheets>
    <sheet name="DEFINES" sheetId="233" r:id="rId1"/>
    <sheet name="(1) General Hint" sheetId="216" r:id="rId2"/>
    <sheet name="(2) General Msg" sheetId="214" r:id="rId3"/>
    <sheet name="(3) General Alarm" sheetId="215" r:id="rId4"/>
    <sheet name="(4) General IO" sheetId="195" r:id="rId5"/>
    <sheet name="(330) Safety Ctrl " sheetId="226" r:id="rId6"/>
    <sheet name="(10121) Station 1 Control" sheetId="227" r:id="rId7"/>
    <sheet name="(100000) Startup" sheetId="229" r:id="rId8"/>
    <sheet name="(100001) IPC" sheetId="218" r:id="rId9"/>
    <sheet name="(10030x) SafetyPlcTermDiag" sheetId="234" r:id="rId10"/>
    <sheet name="(1003xx) SafetyIODeviceDiag" sheetId="220" r:id="rId11"/>
    <sheet name="(1010xx) NC Axis" sheetId="221" r:id="rId12"/>
    <sheet name="(10120x) NCI Group" sheetId="196" r:id="rId13"/>
    <sheet name="(10121x) KIN Group" sheetId="197" r:id="rId14"/>
    <sheet name="(10122x) XTS Group" sheetId="199" r:id="rId15"/>
    <sheet name="(10123x) CA Group" sheetId="200" r:id="rId16"/>
    <sheet name="(10124x) PP Group" sheetId="198" r:id="rId17"/>
    <sheet name="(1020xx) SoE Drive" sheetId="235" r:id="rId18"/>
    <sheet name="(1022xx) CoE Drive" sheetId="232" r:id="rId19"/>
    <sheet name="(1024xx) Hydrauik Drive " sheetId="97" r:id="rId20"/>
    <sheet name="(1026xx) Stepper Drive" sheetId="231" r:id="rId21"/>
    <sheet name="(1027xx) DC Drive" sheetId="236" r:id="rId22"/>
    <sheet name="(10300x) EtherCAT Master" sheetId="224" r:id="rId23"/>
    <sheet name="(10301x) CanOpen Master" sheetId="225" r:id="rId24"/>
    <sheet name="(10302x) Profibus Master" sheetId="48" r:id="rId25"/>
    <sheet name="(10303x) Profinet Master" sheetId="228" r:id="rId26"/>
    <sheet name="(10305x) Sercos Master" sheetId="201" r:id="rId27"/>
  </sheets>
  <externalReferences>
    <externalReference r:id="rId28"/>
  </externalReferences>
  <definedNames>
    <definedName name="output" localSheetId="18">'(1022xx) CoE Drive'!$B$29:$G$51</definedName>
    <definedName name="TCEVENTCLASS_ALARM" localSheetId="9">[1]DEFINES!$A$9</definedName>
    <definedName name="TCEVENTCLASS_ALARM">DEFINES!$A$9</definedName>
    <definedName name="TCEVENTCLASS_INSTRUCTION">DEFINES!$A$7</definedName>
    <definedName name="TCEVENTCLASS_MAINTENANCE">DEFINES!$A$3</definedName>
    <definedName name="TCEVENTCLASS_MESSAGE" localSheetId="9">[1]DEFINES!$A$4</definedName>
    <definedName name="TCEVENTCLASS_MESSAGE">DEFINES!$A$4</definedName>
    <definedName name="TCEVENTCLASS_NONE">DEFINES!$A$2</definedName>
    <definedName name="TCEVENTCLASS_PARAMERROR">DEFINES!$A$10</definedName>
    <definedName name="TCEVENTCLASS_STATEINFO" localSheetId="9">[1]DEFINES!$A$6</definedName>
    <definedName name="TCEVENTCLASS_STATEINFO">DEFINES!$A$6</definedName>
    <definedName name="TCEVENTCLASS_WARNING" localSheetId="9">[1]DEFINES!$A$8</definedName>
    <definedName name="TCEVENTCLASS_WARNING">DEFINES!$A$8</definedName>
    <definedName name="TCEVENTCLASSS_HINT" localSheetId="9">[1]DEFINES!$A$5</definedName>
    <definedName name="TCEVENTCLASSS_HINT">DEFINES!$A$5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36" l="1"/>
  <c r="D13" i="236"/>
  <c r="E12" i="236"/>
  <c r="D12" i="236"/>
  <c r="E11" i="236"/>
  <c r="D11" i="236"/>
  <c r="E10" i="236"/>
  <c r="D10" i="236"/>
  <c r="E9" i="236"/>
  <c r="D9" i="236"/>
  <c r="E8" i="236"/>
  <c r="D8" i="236"/>
  <c r="E7" i="236"/>
  <c r="D7" i="236"/>
  <c r="E6" i="236"/>
  <c r="D6" i="236"/>
  <c r="E5" i="236"/>
  <c r="D5" i="236"/>
  <c r="E4" i="236"/>
  <c r="D4" i="236"/>
  <c r="E40" i="220" l="1"/>
  <c r="E41" i="220"/>
  <c r="E42" i="220"/>
  <c r="E43" i="220"/>
  <c r="E44" i="220"/>
  <c r="E45" i="220"/>
  <c r="E46" i="220"/>
  <c r="E47" i="220"/>
  <c r="E48" i="220"/>
  <c r="D40" i="220"/>
  <c r="D41" i="220"/>
  <c r="D42" i="220"/>
  <c r="D43" i="220"/>
  <c r="D44" i="220"/>
  <c r="D45" i="220"/>
  <c r="D46" i="220"/>
  <c r="D47" i="220"/>
  <c r="D48" i="220"/>
  <c r="E39" i="220"/>
  <c r="D39" i="220"/>
  <c r="E32" i="220"/>
  <c r="D32" i="220"/>
  <c r="D33" i="220"/>
  <c r="E33" i="220"/>
  <c r="E21" i="220"/>
  <c r="D21" i="220"/>
  <c r="E25" i="220"/>
  <c r="D25" i="220"/>
  <c r="E31" i="220"/>
  <c r="D31" i="220"/>
  <c r="E37" i="220"/>
  <c r="D37" i="220"/>
  <c r="E34" i="220"/>
  <c r="D34" i="220"/>
  <c r="E38" i="220"/>
  <c r="D38" i="220"/>
  <c r="E24" i="220"/>
  <c r="D24" i="220"/>
  <c r="E23" i="220"/>
  <c r="D23" i="220"/>
  <c r="E20" i="220"/>
  <c r="D20" i="220"/>
  <c r="E18" i="220"/>
  <c r="D18" i="220"/>
  <c r="E13" i="220"/>
  <c r="D13" i="220"/>
  <c r="E11" i="220"/>
  <c r="D11" i="220"/>
  <c r="E4" i="220"/>
  <c r="D4" i="220"/>
  <c r="E29" i="224" l="1"/>
  <c r="D29" i="224"/>
  <c r="E28" i="224"/>
  <c r="D28" i="224"/>
  <c r="E27" i="224"/>
  <c r="D27" i="224"/>
  <c r="E26" i="224"/>
  <c r="D26" i="224"/>
  <c r="E25" i="224"/>
  <c r="D25" i="224"/>
  <c r="E24" i="224"/>
  <c r="D24" i="224"/>
  <c r="E23" i="224"/>
  <c r="D23" i="224"/>
  <c r="E22" i="224"/>
  <c r="D22" i="224"/>
  <c r="E21" i="224"/>
  <c r="D21" i="224"/>
  <c r="E20" i="224"/>
  <c r="D20" i="224"/>
  <c r="E19" i="224"/>
  <c r="D19" i="224"/>
  <c r="E18" i="224"/>
  <c r="D18" i="224"/>
  <c r="E17" i="224"/>
  <c r="D17" i="224"/>
  <c r="E16" i="224"/>
  <c r="D16" i="224"/>
  <c r="E15" i="224"/>
  <c r="D15" i="224"/>
  <c r="E14" i="224"/>
  <c r="D14" i="224"/>
  <c r="E13" i="235" l="1"/>
  <c r="D13" i="235"/>
  <c r="E12" i="235"/>
  <c r="D12" i="235"/>
  <c r="E11" i="235"/>
  <c r="D11" i="235"/>
  <c r="E10" i="235"/>
  <c r="D10" i="235"/>
  <c r="E9" i="235"/>
  <c r="D9" i="235"/>
  <c r="E8" i="235"/>
  <c r="D8" i="235"/>
  <c r="E7" i="235"/>
  <c r="D7" i="235"/>
  <c r="E6" i="235"/>
  <c r="D6" i="235"/>
  <c r="E5" i="235"/>
  <c r="D5" i="235"/>
  <c r="E4" i="235"/>
  <c r="D4" i="235"/>
  <c r="E13" i="201" l="1"/>
  <c r="D13" i="201"/>
  <c r="E12" i="201"/>
  <c r="D12" i="201"/>
  <c r="E11" i="201"/>
  <c r="D11" i="201"/>
  <c r="E10" i="201"/>
  <c r="D10" i="201"/>
  <c r="E9" i="201"/>
  <c r="D9" i="201"/>
  <c r="E8" i="201"/>
  <c r="D8" i="201"/>
  <c r="E7" i="201"/>
  <c r="D7" i="201"/>
  <c r="E6" i="201"/>
  <c r="D6" i="201"/>
  <c r="E5" i="201"/>
  <c r="D5" i="201"/>
  <c r="E4" i="201"/>
  <c r="D4" i="201"/>
  <c r="E29" i="228"/>
  <c r="D29" i="228"/>
  <c r="E28" i="228"/>
  <c r="D28" i="228"/>
  <c r="E27" i="228"/>
  <c r="D27" i="228"/>
  <c r="E26" i="228"/>
  <c r="D26" i="228"/>
  <c r="E25" i="228"/>
  <c r="D25" i="228"/>
  <c r="E24" i="228"/>
  <c r="D24" i="228"/>
  <c r="E23" i="228"/>
  <c r="D23" i="228"/>
  <c r="E22" i="228"/>
  <c r="D22" i="228"/>
  <c r="E21" i="228"/>
  <c r="D21" i="228"/>
  <c r="E20" i="228"/>
  <c r="D20" i="228"/>
  <c r="E19" i="228"/>
  <c r="D19" i="228"/>
  <c r="E18" i="228"/>
  <c r="D18" i="228"/>
  <c r="E17" i="228"/>
  <c r="D17" i="228"/>
  <c r="E16" i="228"/>
  <c r="D16" i="228"/>
  <c r="E15" i="228"/>
  <c r="D15" i="228"/>
  <c r="E14" i="228"/>
  <c r="D14" i="228"/>
  <c r="E13" i="228"/>
  <c r="D13" i="228"/>
  <c r="E12" i="228"/>
  <c r="D12" i="228"/>
  <c r="E11" i="228"/>
  <c r="D11" i="228"/>
  <c r="E10" i="228"/>
  <c r="D10" i="228"/>
  <c r="E9" i="228"/>
  <c r="D9" i="228"/>
  <c r="E8" i="228"/>
  <c r="D8" i="228"/>
  <c r="E7" i="228"/>
  <c r="D7" i="228"/>
  <c r="E6" i="228"/>
  <c r="D6" i="228"/>
  <c r="E5" i="228"/>
  <c r="D5" i="228"/>
  <c r="E4" i="228"/>
  <c r="D4" i="228"/>
  <c r="E29" i="48"/>
  <c r="D29" i="48"/>
  <c r="E28" i="48"/>
  <c r="D28" i="48"/>
  <c r="E27" i="48"/>
  <c r="D27" i="48"/>
  <c r="E26" i="48"/>
  <c r="D26" i="48"/>
  <c r="E25" i="48"/>
  <c r="D25" i="48"/>
  <c r="E24" i="48"/>
  <c r="D24" i="48"/>
  <c r="E23" i="48"/>
  <c r="D23" i="48"/>
  <c r="E22" i="48"/>
  <c r="D22" i="48"/>
  <c r="E21" i="48"/>
  <c r="D21" i="48"/>
  <c r="E20" i="48"/>
  <c r="D20" i="48"/>
  <c r="E19" i="48"/>
  <c r="D19" i="48"/>
  <c r="E18" i="48"/>
  <c r="D18" i="48"/>
  <c r="E17" i="48"/>
  <c r="D17" i="48"/>
  <c r="E16" i="48"/>
  <c r="D16" i="48"/>
  <c r="E15" i="48"/>
  <c r="D15" i="48"/>
  <c r="E14" i="48"/>
  <c r="D14" i="48"/>
  <c r="E13" i="48"/>
  <c r="D13" i="48"/>
  <c r="E12" i="48"/>
  <c r="D12" i="48"/>
  <c r="E11" i="48"/>
  <c r="D11" i="48"/>
  <c r="E10" i="48"/>
  <c r="D10" i="48"/>
  <c r="E9" i="48"/>
  <c r="D9" i="48"/>
  <c r="E8" i="48"/>
  <c r="D8" i="48"/>
  <c r="E7" i="48"/>
  <c r="D7" i="48"/>
  <c r="E6" i="48"/>
  <c r="D6" i="48"/>
  <c r="E5" i="48"/>
  <c r="D5" i="48"/>
  <c r="E4" i="48"/>
  <c r="D4" i="48"/>
  <c r="E13" i="225"/>
  <c r="D13" i="225"/>
  <c r="E12" i="225"/>
  <c r="D12" i="225"/>
  <c r="E11" i="225"/>
  <c r="D11" i="225"/>
  <c r="E10" i="225"/>
  <c r="D10" i="225"/>
  <c r="E9" i="225"/>
  <c r="D9" i="225"/>
  <c r="E8" i="225"/>
  <c r="D8" i="225"/>
  <c r="E7" i="225"/>
  <c r="D7" i="225"/>
  <c r="E6" i="225"/>
  <c r="D6" i="225"/>
  <c r="E5" i="225"/>
  <c r="D5" i="225"/>
  <c r="E4" i="225"/>
  <c r="D4" i="225"/>
  <c r="E13" i="224"/>
  <c r="D13" i="224"/>
  <c r="E12" i="224"/>
  <c r="D12" i="224"/>
  <c r="E11" i="224"/>
  <c r="D11" i="224"/>
  <c r="E10" i="224"/>
  <c r="D10" i="224"/>
  <c r="E9" i="224"/>
  <c r="D9" i="224"/>
  <c r="E8" i="224"/>
  <c r="D8" i="224"/>
  <c r="E7" i="224"/>
  <c r="D7" i="224"/>
  <c r="E6" i="224"/>
  <c r="D6" i="224"/>
  <c r="E5" i="224"/>
  <c r="D5" i="224"/>
  <c r="E4" i="224"/>
  <c r="D4" i="224"/>
  <c r="E13" i="97"/>
  <c r="D13" i="97"/>
  <c r="E12" i="97"/>
  <c r="D12" i="97"/>
  <c r="E11" i="97"/>
  <c r="D11" i="97"/>
  <c r="E10" i="97"/>
  <c r="D10" i="97"/>
  <c r="E9" i="97"/>
  <c r="D9" i="97"/>
  <c r="E8" i="97"/>
  <c r="D8" i="97"/>
  <c r="E7" i="97"/>
  <c r="D7" i="97"/>
  <c r="E6" i="97"/>
  <c r="D6" i="97"/>
  <c r="E5" i="97"/>
  <c r="D5" i="97"/>
  <c r="E4" i="97"/>
  <c r="D4" i="97"/>
  <c r="E55" i="232"/>
  <c r="D55" i="232"/>
  <c r="E54" i="232"/>
  <c r="D54" i="232"/>
  <c r="E53" i="232"/>
  <c r="D53" i="232"/>
  <c r="E52" i="232"/>
  <c r="D52" i="232"/>
  <c r="E51" i="232"/>
  <c r="D51" i="232"/>
  <c r="E50" i="232"/>
  <c r="D50" i="232"/>
  <c r="E49" i="232"/>
  <c r="D49" i="232"/>
  <c r="E48" i="232"/>
  <c r="D48" i="232"/>
  <c r="E47" i="232"/>
  <c r="D47" i="232"/>
  <c r="E46" i="232"/>
  <c r="D46" i="232"/>
  <c r="E45" i="232"/>
  <c r="D45" i="232"/>
  <c r="E44" i="232"/>
  <c r="D44" i="232"/>
  <c r="E43" i="232"/>
  <c r="D43" i="232"/>
  <c r="E42" i="232"/>
  <c r="D42" i="232"/>
  <c r="E41" i="232"/>
  <c r="D41" i="232"/>
  <c r="E40" i="232"/>
  <c r="D40" i="232"/>
  <c r="E39" i="232"/>
  <c r="D39" i="232"/>
  <c r="E38" i="232"/>
  <c r="D38" i="232"/>
  <c r="E37" i="232"/>
  <c r="D37" i="232"/>
  <c r="E36" i="232"/>
  <c r="D36" i="232"/>
  <c r="E35" i="232"/>
  <c r="D35" i="232"/>
  <c r="E34" i="232"/>
  <c r="D34" i="232"/>
  <c r="E33" i="232"/>
  <c r="D33" i="232"/>
  <c r="E32" i="232"/>
  <c r="D32" i="232"/>
  <c r="E31" i="232"/>
  <c r="D31" i="232"/>
  <c r="E30" i="232"/>
  <c r="D30" i="232"/>
  <c r="E29" i="232"/>
  <c r="D29" i="232"/>
  <c r="E28" i="232"/>
  <c r="D28" i="232"/>
  <c r="E27" i="232"/>
  <c r="D27" i="232"/>
  <c r="E26" i="232"/>
  <c r="D26" i="232"/>
  <c r="E25" i="232"/>
  <c r="D25" i="232"/>
  <c r="E24" i="232"/>
  <c r="D24" i="232"/>
  <c r="E23" i="232"/>
  <c r="D23" i="232"/>
  <c r="E22" i="232"/>
  <c r="D22" i="232"/>
  <c r="E21" i="232"/>
  <c r="D21" i="232"/>
  <c r="E20" i="232"/>
  <c r="D20" i="232"/>
  <c r="E19" i="232"/>
  <c r="D19" i="232"/>
  <c r="E18" i="232"/>
  <c r="D18" i="232"/>
  <c r="E17" i="232"/>
  <c r="D17" i="232"/>
  <c r="E16" i="232"/>
  <c r="D16" i="232"/>
  <c r="E15" i="232"/>
  <c r="D15" i="232"/>
  <c r="E14" i="232"/>
  <c r="D14" i="232"/>
  <c r="E13" i="232"/>
  <c r="D13" i="232"/>
  <c r="E12" i="232"/>
  <c r="D12" i="232"/>
  <c r="E11" i="232"/>
  <c r="D11" i="232"/>
  <c r="E10" i="232"/>
  <c r="D10" i="232"/>
  <c r="E9" i="232"/>
  <c r="D9" i="232"/>
  <c r="E8" i="232"/>
  <c r="D8" i="232"/>
  <c r="E7" i="232"/>
  <c r="D7" i="232"/>
  <c r="E6" i="232"/>
  <c r="D6" i="232"/>
  <c r="E5" i="232"/>
  <c r="D5" i="232"/>
  <c r="E4" i="232"/>
  <c r="D4" i="232"/>
  <c r="E13" i="231"/>
  <c r="D13" i="231"/>
  <c r="E12" i="231"/>
  <c r="D12" i="231"/>
  <c r="E11" i="231"/>
  <c r="D11" i="231"/>
  <c r="E10" i="231"/>
  <c r="D10" i="231"/>
  <c r="E9" i="231"/>
  <c r="D9" i="231"/>
  <c r="E8" i="231"/>
  <c r="D8" i="231"/>
  <c r="E7" i="231"/>
  <c r="D7" i="231"/>
  <c r="E6" i="231"/>
  <c r="D6" i="231"/>
  <c r="E5" i="231"/>
  <c r="D5" i="231"/>
  <c r="E4" i="231"/>
  <c r="D4" i="231"/>
  <c r="E13" i="198"/>
  <c r="D13" i="198"/>
  <c r="E12" i="198"/>
  <c r="D12" i="198"/>
  <c r="E11" i="198"/>
  <c r="D11" i="198"/>
  <c r="E10" i="198"/>
  <c r="D10" i="198"/>
  <c r="E9" i="198"/>
  <c r="D9" i="198"/>
  <c r="E8" i="198"/>
  <c r="D8" i="198"/>
  <c r="E7" i="198"/>
  <c r="D7" i="198"/>
  <c r="E6" i="198"/>
  <c r="D6" i="198"/>
  <c r="E5" i="198"/>
  <c r="D5" i="198"/>
  <c r="E4" i="198"/>
  <c r="D4" i="198"/>
  <c r="E13" i="200"/>
  <c r="D13" i="200"/>
  <c r="E12" i="200"/>
  <c r="D12" i="200"/>
  <c r="E11" i="200"/>
  <c r="D11" i="200"/>
  <c r="E10" i="200"/>
  <c r="D10" i="200"/>
  <c r="E9" i="200"/>
  <c r="D9" i="200"/>
  <c r="E8" i="200"/>
  <c r="D8" i="200"/>
  <c r="E7" i="200"/>
  <c r="D7" i="200"/>
  <c r="E6" i="200"/>
  <c r="D6" i="200"/>
  <c r="E5" i="200"/>
  <c r="D5" i="200"/>
  <c r="E4" i="200"/>
  <c r="D4" i="200"/>
  <c r="E13" i="199"/>
  <c r="D13" i="199"/>
  <c r="E12" i="199"/>
  <c r="D12" i="199"/>
  <c r="E11" i="199"/>
  <c r="D11" i="199"/>
  <c r="E10" i="199"/>
  <c r="D10" i="199"/>
  <c r="E9" i="199"/>
  <c r="D9" i="199"/>
  <c r="E8" i="199"/>
  <c r="D8" i="199"/>
  <c r="E7" i="199"/>
  <c r="D7" i="199"/>
  <c r="E6" i="199"/>
  <c r="D6" i="199"/>
  <c r="E5" i="199"/>
  <c r="D5" i="199"/>
  <c r="E4" i="199"/>
  <c r="D4" i="199"/>
  <c r="E13" i="197"/>
  <c r="D13" i="197"/>
  <c r="E12" i="197"/>
  <c r="D12" i="197"/>
  <c r="E11" i="197"/>
  <c r="D11" i="197"/>
  <c r="E10" i="197"/>
  <c r="D10" i="197"/>
  <c r="E9" i="197"/>
  <c r="D9" i="197"/>
  <c r="E8" i="197"/>
  <c r="D8" i="197"/>
  <c r="E7" i="197"/>
  <c r="D7" i="197"/>
  <c r="E6" i="197"/>
  <c r="D6" i="197"/>
  <c r="E5" i="197"/>
  <c r="D5" i="197"/>
  <c r="E4" i="197"/>
  <c r="D4" i="197"/>
  <c r="E14" i="196"/>
  <c r="D14" i="196"/>
  <c r="E13" i="196"/>
  <c r="D13" i="196"/>
  <c r="E12" i="196"/>
  <c r="D12" i="196"/>
  <c r="E11" i="196"/>
  <c r="D11" i="196"/>
  <c r="E10" i="196"/>
  <c r="D10" i="196"/>
  <c r="D9" i="196"/>
  <c r="E9" i="196"/>
  <c r="E8" i="196"/>
  <c r="D8" i="196"/>
  <c r="E7" i="196"/>
  <c r="D7" i="196"/>
  <c r="E6" i="196"/>
  <c r="D6" i="196"/>
  <c r="E5" i="196"/>
  <c r="D5" i="196"/>
  <c r="E4" i="196"/>
  <c r="D4" i="196"/>
  <c r="E14" i="221"/>
  <c r="D14" i="221"/>
  <c r="E13" i="221"/>
  <c r="D13" i="221"/>
  <c r="E12" i="221"/>
  <c r="D12" i="221"/>
  <c r="E11" i="221"/>
  <c r="D11" i="221"/>
  <c r="E10" i="221"/>
  <c r="D10" i="221"/>
  <c r="C9" i="221"/>
  <c r="E9" i="221" s="1"/>
  <c r="E8" i="221"/>
  <c r="D8" i="221"/>
  <c r="E7" i="221"/>
  <c r="D7" i="221"/>
  <c r="E6" i="221"/>
  <c r="D6" i="221"/>
  <c r="E5" i="221"/>
  <c r="D5" i="221"/>
  <c r="E4" i="221"/>
  <c r="D4" i="221"/>
  <c r="E36" i="220"/>
  <c r="D36" i="220"/>
  <c r="E35" i="220"/>
  <c r="D35" i="220"/>
  <c r="E30" i="220"/>
  <c r="D30" i="220"/>
  <c r="E29" i="220"/>
  <c r="D29" i="220"/>
  <c r="E28" i="220"/>
  <c r="D28" i="220"/>
  <c r="E27" i="220"/>
  <c r="D27" i="220"/>
  <c r="E26" i="220"/>
  <c r="D26" i="220"/>
  <c r="E22" i="220"/>
  <c r="D22" i="220"/>
  <c r="E19" i="220"/>
  <c r="D19" i="220"/>
  <c r="E17" i="220"/>
  <c r="D17" i="220"/>
  <c r="E16" i="220"/>
  <c r="D16" i="220"/>
  <c r="E15" i="220"/>
  <c r="D15" i="220"/>
  <c r="E14" i="220"/>
  <c r="D14" i="220"/>
  <c r="E12" i="220"/>
  <c r="D12" i="220"/>
  <c r="C10" i="220"/>
  <c r="E10" i="220" s="1"/>
  <c r="E9" i="220"/>
  <c r="D9" i="220"/>
  <c r="E8" i="220"/>
  <c r="D8" i="220"/>
  <c r="E7" i="220"/>
  <c r="D7" i="220"/>
  <c r="E6" i="220"/>
  <c r="D6" i="220"/>
  <c r="E5" i="220"/>
  <c r="D5" i="220"/>
  <c r="E53" i="234"/>
  <c r="D53" i="234"/>
  <c r="E52" i="234"/>
  <c r="D52" i="234"/>
  <c r="E51" i="234"/>
  <c r="D51" i="234"/>
  <c r="E50" i="234"/>
  <c r="D50" i="234"/>
  <c r="E49" i="234"/>
  <c r="D49" i="234"/>
  <c r="E48" i="234"/>
  <c r="D48" i="234"/>
  <c r="E47" i="234"/>
  <c r="D47" i="234"/>
  <c r="E46" i="234"/>
  <c r="D46" i="234"/>
  <c r="E45" i="234"/>
  <c r="D45" i="234"/>
  <c r="E44" i="234"/>
  <c r="D44" i="234"/>
  <c r="E43" i="234"/>
  <c r="D43" i="234"/>
  <c r="E42" i="234"/>
  <c r="D42" i="234"/>
  <c r="E41" i="234"/>
  <c r="D41" i="234"/>
  <c r="E40" i="234"/>
  <c r="D40" i="234"/>
  <c r="E39" i="234"/>
  <c r="D39" i="234"/>
  <c r="E38" i="234"/>
  <c r="D38" i="234"/>
  <c r="E37" i="234"/>
  <c r="D37" i="234"/>
  <c r="E36" i="234"/>
  <c r="D36" i="234"/>
  <c r="E35" i="234"/>
  <c r="D35" i="234"/>
  <c r="E34" i="234"/>
  <c r="D34" i="234"/>
  <c r="E33" i="234"/>
  <c r="D33" i="234"/>
  <c r="E32" i="234"/>
  <c r="D32" i="234"/>
  <c r="E31" i="234"/>
  <c r="D31" i="234"/>
  <c r="E30" i="234"/>
  <c r="D30" i="234"/>
  <c r="E29" i="234"/>
  <c r="D29" i="234"/>
  <c r="E28" i="234"/>
  <c r="D28" i="234"/>
  <c r="E27" i="234"/>
  <c r="D27" i="234"/>
  <c r="E26" i="234"/>
  <c r="D26" i="234"/>
  <c r="E25" i="234"/>
  <c r="D25" i="234"/>
  <c r="E24" i="234"/>
  <c r="D24" i="234"/>
  <c r="E23" i="234"/>
  <c r="D23" i="234"/>
  <c r="E22" i="234"/>
  <c r="D22" i="234"/>
  <c r="E21" i="234"/>
  <c r="D21" i="234"/>
  <c r="E20" i="234"/>
  <c r="D20" i="234"/>
  <c r="E19" i="234"/>
  <c r="D19" i="234"/>
  <c r="E18" i="234"/>
  <c r="D18" i="234"/>
  <c r="E17" i="234"/>
  <c r="D17" i="234"/>
  <c r="E16" i="234"/>
  <c r="D16" i="234"/>
  <c r="E15" i="234"/>
  <c r="D15" i="234"/>
  <c r="E14" i="234"/>
  <c r="D14" i="234"/>
  <c r="E13" i="234"/>
  <c r="D13" i="234"/>
  <c r="E12" i="234"/>
  <c r="D12" i="234"/>
  <c r="E11" i="234"/>
  <c r="D11" i="234"/>
  <c r="E10" i="234"/>
  <c r="D10" i="234"/>
  <c r="E8" i="234"/>
  <c r="D8" i="234"/>
  <c r="E7" i="234"/>
  <c r="D7" i="234"/>
  <c r="E6" i="234"/>
  <c r="D6" i="234"/>
  <c r="E5" i="234"/>
  <c r="D5" i="234"/>
  <c r="E4" i="234"/>
  <c r="D4" i="234"/>
  <c r="D9" i="234"/>
  <c r="E14" i="218"/>
  <c r="D14" i="218"/>
  <c r="E13" i="218"/>
  <c r="D13" i="218"/>
  <c r="E12" i="218"/>
  <c r="D12" i="218"/>
  <c r="E11" i="218"/>
  <c r="D11" i="218"/>
  <c r="E10" i="218"/>
  <c r="D10" i="218"/>
  <c r="E9" i="218"/>
  <c r="D9" i="218"/>
  <c r="E8" i="218"/>
  <c r="D8" i="218"/>
  <c r="E7" i="218"/>
  <c r="D7" i="218"/>
  <c r="E6" i="218"/>
  <c r="D6" i="218"/>
  <c r="E5" i="218"/>
  <c r="D5" i="218"/>
  <c r="E4" i="218"/>
  <c r="D4" i="218"/>
  <c r="E13" i="229"/>
  <c r="D13" i="229"/>
  <c r="E12" i="229"/>
  <c r="D12" i="229"/>
  <c r="E11" i="229"/>
  <c r="D11" i="229"/>
  <c r="E10" i="229"/>
  <c r="D10" i="229"/>
  <c r="E9" i="229"/>
  <c r="D9" i="229"/>
  <c r="E8" i="229"/>
  <c r="D8" i="229"/>
  <c r="E7" i="229"/>
  <c r="D7" i="229"/>
  <c r="E6" i="229"/>
  <c r="D6" i="229"/>
  <c r="E5" i="229"/>
  <c r="D5" i="229"/>
  <c r="E4" i="229"/>
  <c r="D4" i="229"/>
  <c r="E28" i="227"/>
  <c r="D28" i="227"/>
  <c r="E27" i="227"/>
  <c r="D27" i="227"/>
  <c r="E26" i="227"/>
  <c r="D26" i="227"/>
  <c r="E25" i="227"/>
  <c r="D25" i="227"/>
  <c r="E24" i="227"/>
  <c r="D24" i="227"/>
  <c r="E23" i="227"/>
  <c r="D23" i="227"/>
  <c r="E22" i="227"/>
  <c r="D22" i="227"/>
  <c r="E21" i="227"/>
  <c r="D21" i="227"/>
  <c r="E20" i="227"/>
  <c r="D20" i="227"/>
  <c r="D19" i="227"/>
  <c r="E19" i="227"/>
  <c r="E18" i="227"/>
  <c r="E17" i="227"/>
  <c r="D17" i="227"/>
  <c r="E16" i="227"/>
  <c r="D16" i="227"/>
  <c r="E15" i="227"/>
  <c r="D15" i="227"/>
  <c r="E14" i="227"/>
  <c r="D14" i="227"/>
  <c r="E13" i="227"/>
  <c r="D13" i="227"/>
  <c r="E12" i="227"/>
  <c r="D12" i="227"/>
  <c r="E11" i="227"/>
  <c r="D11" i="227"/>
  <c r="E10" i="227"/>
  <c r="D10" i="227"/>
  <c r="E9" i="227"/>
  <c r="D9" i="227"/>
  <c r="E8" i="227"/>
  <c r="D8" i="227"/>
  <c r="E7" i="227"/>
  <c r="D7" i="227"/>
  <c r="E6" i="227"/>
  <c r="D6" i="227"/>
  <c r="E5" i="227"/>
  <c r="D5" i="227"/>
  <c r="C4" i="227"/>
  <c r="E4" i="227" s="1"/>
  <c r="E13" i="216"/>
  <c r="D13" i="216"/>
  <c r="E12" i="216"/>
  <c r="D12" i="216"/>
  <c r="E11" i="216"/>
  <c r="D11" i="216"/>
  <c r="E10" i="216"/>
  <c r="D10" i="216"/>
  <c r="E9" i="216"/>
  <c r="D9" i="216"/>
  <c r="E8" i="216"/>
  <c r="D8" i="216"/>
  <c r="E7" i="216"/>
  <c r="D7" i="216"/>
  <c r="E6" i="216"/>
  <c r="D6" i="216"/>
  <c r="E5" i="216"/>
  <c r="D5" i="216"/>
  <c r="E4" i="216"/>
  <c r="D4" i="216"/>
  <c r="E13" i="214"/>
  <c r="D13" i="214"/>
  <c r="E12" i="214"/>
  <c r="D12" i="214"/>
  <c r="E11" i="214"/>
  <c r="D11" i="214"/>
  <c r="E10" i="214"/>
  <c r="D10" i="214"/>
  <c r="E9" i="214"/>
  <c r="D9" i="214"/>
  <c r="E8" i="214"/>
  <c r="D8" i="214"/>
  <c r="E7" i="214"/>
  <c r="D7" i="214"/>
  <c r="E6" i="214"/>
  <c r="D6" i="214"/>
  <c r="E5" i="214"/>
  <c r="D5" i="214"/>
  <c r="E4" i="214"/>
  <c r="D4" i="214"/>
  <c r="E13" i="215"/>
  <c r="D13" i="215"/>
  <c r="E12" i="215"/>
  <c r="D12" i="215"/>
  <c r="E11" i="215"/>
  <c r="D11" i="215"/>
  <c r="E10" i="215"/>
  <c r="D10" i="215"/>
  <c r="E9" i="215"/>
  <c r="D9" i="215"/>
  <c r="E8" i="215"/>
  <c r="D8" i="215"/>
  <c r="E7" i="215"/>
  <c r="D7" i="215"/>
  <c r="E6" i="215"/>
  <c r="D6" i="215"/>
  <c r="E5" i="215"/>
  <c r="D5" i="215"/>
  <c r="C4" i="215"/>
  <c r="E4" i="215" s="1"/>
  <c r="E13" i="195"/>
  <c r="E12" i="195"/>
  <c r="D12" i="195"/>
  <c r="E11" i="195"/>
  <c r="D11" i="195"/>
  <c r="E10" i="195"/>
  <c r="D10" i="195"/>
  <c r="E9" i="195"/>
  <c r="D9" i="195"/>
  <c r="E8" i="195"/>
  <c r="D8" i="195"/>
  <c r="E7" i="195"/>
  <c r="D7" i="195"/>
  <c r="E6" i="195"/>
  <c r="D6" i="195"/>
  <c r="E5" i="195"/>
  <c r="D5" i="195"/>
  <c r="C4" i="195"/>
  <c r="D4" i="195" s="1"/>
  <c r="E28" i="226"/>
  <c r="D28" i="226"/>
  <c r="E27" i="226"/>
  <c r="D27" i="226"/>
  <c r="E26" i="226"/>
  <c r="D26" i="226"/>
  <c r="E25" i="226"/>
  <c r="D25" i="226"/>
  <c r="E24" i="226"/>
  <c r="D24" i="226"/>
  <c r="E23" i="226"/>
  <c r="D23" i="226"/>
  <c r="E22" i="226"/>
  <c r="D22" i="226"/>
  <c r="E21" i="226"/>
  <c r="D21" i="226"/>
  <c r="E20" i="226"/>
  <c r="D20" i="226"/>
  <c r="E17" i="226"/>
  <c r="D17" i="226"/>
  <c r="E16" i="226"/>
  <c r="D16" i="226"/>
  <c r="E15" i="226"/>
  <c r="D15" i="226"/>
  <c r="E14" i="226"/>
  <c r="D14" i="226"/>
  <c r="E12" i="226"/>
  <c r="D12" i="226"/>
  <c r="D11" i="226"/>
  <c r="E10" i="226"/>
  <c r="D10" i="226"/>
  <c r="E9" i="226"/>
  <c r="D9" i="226"/>
  <c r="E8" i="226"/>
  <c r="D8" i="226"/>
  <c r="E7" i="226"/>
  <c r="D7" i="226"/>
  <c r="E6" i="226"/>
  <c r="D6" i="226"/>
  <c r="E5" i="226"/>
  <c r="D5" i="226"/>
  <c r="E11" i="226"/>
  <c r="C19" i="226"/>
  <c r="E19" i="226" s="1"/>
  <c r="C18" i="226"/>
  <c r="E18" i="226" s="1"/>
  <c r="C13" i="226"/>
  <c r="E13" i="226" s="1"/>
  <c r="C4" i="226"/>
  <c r="D4" i="226" s="1"/>
  <c r="D4" i="215" l="1"/>
  <c r="D4" i="227"/>
  <c r="D10" i="220"/>
  <c r="D19" i="226"/>
  <c r="D9" i="221"/>
  <c r="E9" i="234"/>
  <c r="E4" i="226"/>
  <c r="D13" i="226"/>
  <c r="E4" i="195"/>
  <c r="D18" i="226"/>
  <c r="D18" i="227"/>
  <c r="D13" i="19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Brökling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Daniel Brökling:</t>
        </r>
        <r>
          <rPr>
            <sz val="9"/>
            <color indexed="81"/>
            <rFont val="Tahoma"/>
            <family val="2"/>
          </rPr>
          <t xml:space="preserve">
TcEvenClasses:
TCEVENTCLASS_NONE =0,
TCEVENTCLASS_MAINTENANCE =1,
TCEVENTCLASS_MESSAGE =2,
TCEVENTCLASS_HINT =3,
TCEVENTCLASS_STATEINFO =4,
TCEVENTCLASS_INSTRUCTION =5,
TCEVENTCLASS_WARNING =6,
TCEVENTCLASS_ALARM =7,
TCEVENTCLASS_PARAMERROR =8,
TCEVENTCLASS_MAX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Hülsebusch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Jens Hülsebusch:</t>
        </r>
        <r>
          <rPr>
            <sz val="9"/>
            <color indexed="81"/>
            <rFont val="Tahoma"/>
            <family val="2"/>
          </rPr>
          <t xml:space="preserve">
Hier bitte untereinander lückenlos die Source Id´s eingeben</t>
        </r>
      </text>
    </comment>
    <comment ref="B2" authorId="0" shapeId="0" xr:uid="{00000000-0006-0000-0100-000002000000}">
      <text>
        <r>
          <rPr>
            <b/>
            <sz val="9"/>
            <color indexed="81"/>
            <rFont val="Segoe UI"/>
            <family val="2"/>
          </rPr>
          <t>Jens Hülsebusch:</t>
        </r>
        <r>
          <rPr>
            <sz val="9"/>
            <color indexed="81"/>
            <rFont val="Segoe UI"/>
            <family val="2"/>
          </rPr>
          <t xml:space="preserve">
Event Nummer
</t>
        </r>
      </text>
    </comment>
    <comment ref="F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Jens Hülsebusch:</t>
        </r>
        <r>
          <rPr>
            <sz val="9"/>
            <color indexed="81"/>
            <rFont val="Tahoma"/>
            <family val="2"/>
          </rPr>
          <t xml:space="preserve">
LCID der Landessprache (hier 1031 - Deutsch):
http://msdn.microsoft.com/de-de/goglobal/bb964664.aspx
 CZ,CZE := 1029; // Czech
 DK,DNK := 1030; // Danish
 DE,DEU := 1031; // German
 GR,GRC := 1032; // Greek
 US,USA := 1033; // English US
 ES,ESP := 1034; // Spain
 FI,FIN := 1034; // Finish
 FR,FRA := 1036; // French 
 IT,ITA := 1040; // Italian
 NL,NLD := 1043; // Dutch - Netherlands
 NO,NOR := 1044; // Norwegian
 PL,POL := 1045; // Polish
 RU,RUS := 1049; // Russian
 CA,CAN := 1099; // Kannada
 TR,TUR := 1055; // Turkish
 CN,CHN := 2052; // Chinese
 GB,GBR := 2057; // English GB </t>
        </r>
      </text>
    </comment>
    <comment ref="F3" authorId="0" shapeId="0" xr:uid="{00000000-0006-0000-0100-000004000000}">
      <text>
        <r>
          <rPr>
            <b/>
            <sz val="9"/>
            <color indexed="81"/>
            <rFont val="Segoe UI"/>
            <family val="2"/>
          </rPr>
          <t>Jens Hülsebusch:</t>
        </r>
        <r>
          <rPr>
            <sz val="9"/>
            <color indexed="81"/>
            <rFont val="Segoe UI"/>
            <family val="2"/>
          </rPr>
          <t xml:space="preserve">
Name der Quelle in angegebener Sprache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Hülsebusch</author>
  </authors>
  <commentList>
    <comment ref="F2" authorId="0" shapeId="0" xr:uid="{00000000-0006-0000-0400-000001000000}">
      <text>
        <r>
          <rPr>
            <b/>
            <sz val="9"/>
            <color indexed="81"/>
            <rFont val="Tahoma"/>
            <charset val="1"/>
          </rPr>
          <t>Jens Hülsebusch:</t>
        </r>
        <r>
          <rPr>
            <sz val="9"/>
            <color indexed="81"/>
            <rFont val="Tahoma"/>
            <charset val="1"/>
          </rPr>
          <t xml:space="preserve">
LCID der Landessprache (hier 1031 - Deutsch):
http://msdn.microsoft.com/de-de/goglobal/bb964664.aspx
 CZ,CZE := 1029; // Czech
 DK,DNK := 1030; // Danish
 DE,DEU := 1031; // German
 GR,GRC := 1032; // Greek
 US,USA := 1033; // English US
 ES,ESP := 1034; // Spain
 FI,FIN := 1034; // Finish
 FR,FRA := 1036; // French 
 IT,ITA := 1040; // Italian
 NL,NLD := 1043; // Dutch - Netherlands
 NO,NOR := 1044; // Norwegian
 PL,POL := 1045; // Polish
 RU,RUS := 1049; // Russian
 CA,CAN := 1099; // Kannada
 TR,TUR := 1055; // Turkish
 CN,CHN := 2052; // Chinese
 GB,GBR := 2057; // English GB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Brökling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niel Brökling:</t>
        </r>
        <r>
          <rPr>
            <sz val="9"/>
            <color indexed="81"/>
            <rFont val="Tahoma"/>
            <family val="2"/>
          </rPr>
          <t xml:space="preserve">
TcEvenClasses:
TCEVENTCLASS_NONE =0,
TCEVENTCLASS_MAINTENANCE =1,
TCEVENTCLASS_MESSAGE =2,
TCEVENTCLASS_HINT =3,
TCEVENTCLASS_STATEINFO =4,
TCEVENTCLASS_INSTRUCTION =5,
TCEVENTCLASS_WARNING =6,
TCEVENTCLASS_ALARM =7,
TCEVENTCLASS_PARAMERROR =8,
TCEVENTCLASS_MAX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Brökling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Daniel Brökling:</t>
        </r>
        <r>
          <rPr>
            <sz val="9"/>
            <color indexed="81"/>
            <rFont val="Tahoma"/>
            <family val="2"/>
          </rPr>
          <t xml:space="preserve">
TcEvenClasses:
TCEVENTCLASS_NONE =0,
TCEVENTCLASS_MAINTENANCE =1,
TCEVENTCLASS_MESSAGE =2,
TCEVENTCLASS_HINT =3,
TCEVENTCLASS_STATEINFO =4,
TCEVENTCLASS_INSTRUCTION =5,
TCEVENTCLASS_WARNING =6,
TCEVENTCLASS_ALARM =7,
TCEVENTCLASS_PARAMERROR =8,
TCEVENTCLASS_MAX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Brökling</author>
  </authors>
  <commentList>
    <comment ref="C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Daniel Brökling:</t>
        </r>
        <r>
          <rPr>
            <sz val="9"/>
            <color indexed="81"/>
            <rFont val="Tahoma"/>
            <family val="2"/>
          </rPr>
          <t xml:space="preserve">
TcEvenClasses:
TCEVENTCLASS_NONE =0,
TCEVENTCLASS_MAINTENANCE =1,
TCEVENTCLASS_MESSAGE =2,
TCEVENTCLASS_HINT =3,
TCEVENTCLASS_STATEINFO =4,
TCEVENTCLASS_INSTRUCTION =5,
TCEVENTCLASS_WARNING =6,
TCEVENTCLASS_ALARM =7,
TCEVENTCLASS_PARAMERROR =8,
TCEVENTCLASS_MAX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Brökling</author>
  </authors>
  <commentList>
    <comment ref="C1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Daniel Brökling:</t>
        </r>
        <r>
          <rPr>
            <sz val="9"/>
            <color indexed="81"/>
            <rFont val="Tahoma"/>
            <family val="2"/>
          </rPr>
          <t xml:space="preserve">
TcEvenClasses:
TCEVENTCLASS_NONE =0,
TCEVENTCLASS_MAINTENANCE =1,
TCEVENTCLASS_MESSAGE =2,
TCEVENTCLASS_HINT =3,
TCEVENTCLASS_STATEINFO =4,
TCEVENTCLASS_INSTRUCTION =5,
TCEVENTCLASS_WARNING =6,
TCEVENTCLASS_ALARM =7,
TCEVENTCLASS_PARAMERROR =8,
TCEVENTCLASS_MAX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Brökling</author>
  </authors>
  <commentList>
    <comment ref="C1" authorId="0" shapeId="0" xr:uid="{00000000-0006-0000-1400-000001000000}">
      <text>
        <r>
          <rPr>
            <b/>
            <sz val="9"/>
            <color indexed="81"/>
            <rFont val="Tahoma"/>
            <family val="2"/>
          </rPr>
          <t>Daniel Brökling:</t>
        </r>
        <r>
          <rPr>
            <sz val="9"/>
            <color indexed="81"/>
            <rFont val="Tahoma"/>
            <family val="2"/>
          </rPr>
          <t xml:space="preserve">
TcEvenClasses:
TCEVENTCLASS_NONE =0,
TCEVENTCLASS_MAINTENANCE =1,
TCEVENTCLASS_MESSAGE =2,
TCEVENTCLASS_HINT =3,
TCEVENTCLASS_STATEINFO =4,
TCEVENTCLASS_INSTRUCTION =5,
TCEVENTCLASS_WARNING =6,
TCEVENTCLASS_ALARM =7,
TCEVENTCLASS_PARAMERROR =8,
TCEVENTCLASS_MAX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Brökling</author>
  </authors>
  <commentList>
    <comment ref="C1" authorId="0" shapeId="0" xr:uid="{24479A64-7AAB-41CE-8FC9-EBC0FC6DAE93}">
      <text>
        <r>
          <rPr>
            <b/>
            <sz val="9"/>
            <color indexed="81"/>
            <rFont val="Tahoma"/>
            <family val="2"/>
          </rPr>
          <t>Daniel Brökling:</t>
        </r>
        <r>
          <rPr>
            <sz val="9"/>
            <color indexed="81"/>
            <rFont val="Tahoma"/>
            <family val="2"/>
          </rPr>
          <t xml:space="preserve">
TcEvenClasses:
TCEVENTCLASS_NONE =0,
TCEVENTCLASS_MAINTENANCE =1,
TCEVENTCLASS_MESSAGE =2,
TCEVENTCLASS_HINT =3,
TCEVENTCLASS_STATEINFO =4,
TCEVENTCLASS_INSTRUCTION =5,
TCEVENTCLASS_WARNING =6,
TCEVENTCLASS_ALARM =7,
TCEVENTCLASS_PARAMERROR =8,
TCEVENTCLASS_MAX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output" type="6" refreshedVersion="5" deleted="1" background="1" saveData="1">
    <textPr codePage="850" sourceFile="C:\A&amp;T\IOTA\Spectre\BAG\04_Application\Software\_Tmp\EsiXmlParser\bin\Debug\output.csv" decimal="," thousands="." tab="0" semicolon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<sst xmlns="http://schemas.openxmlformats.org/spreadsheetml/2006/main" count="3294" uniqueCount="612">
  <si>
    <t>EventId</t>
  </si>
  <si>
    <t>Source Id</t>
  </si>
  <si>
    <t xml:space="preserve"> </t>
  </si>
  <si>
    <t>Klasse</t>
  </si>
  <si>
    <t>Prioritaet</t>
  </si>
  <si>
    <t>Quittierung</t>
  </si>
  <si>
    <t>%1 %2 %3</t>
  </si>
  <si>
    <t>Systeme de l indice general</t>
  </si>
  <si>
    <t>Sistema de sugerencia general</t>
  </si>
  <si>
    <t>Algemene hint systeem</t>
  </si>
  <si>
    <t>ne se traduit pas %1 %2 %3</t>
  </si>
  <si>
    <t>no traducidas %1 %2 %3</t>
  </si>
  <si>
    <t>niet vertaald %1 %2 %3</t>
  </si>
  <si>
    <t>Sistema de advertencia general</t>
  </si>
  <si>
    <t>Algemeen waarschuwingssysteem</t>
  </si>
  <si>
    <t>Systeme d alerte generale</t>
  </si>
  <si>
    <t>Sistema de alarma general</t>
  </si>
  <si>
    <t>Algemene alarminstallatie</t>
  </si>
  <si>
    <t>Sicherheits-SPS Franzoesisch</t>
  </si>
  <si>
    <t>Sicherheits-SPS Spanisch</t>
  </si>
  <si>
    <t>Sicherheits-SPS Niederlaendisch</t>
  </si>
  <si>
    <t>Sicherheit Franzoesisch</t>
  </si>
  <si>
    <t>Sicherheit Spanisch</t>
  </si>
  <si>
    <t>Sicherheit Niederlaendisch</t>
  </si>
  <si>
    <t>IPC Diagnose</t>
  </si>
  <si>
    <t>IPC diagnosis</t>
  </si>
  <si>
    <t>Vorlage Leer Franzoesisch</t>
  </si>
  <si>
    <t>Vorlage Leer Spanisch</t>
  </si>
  <si>
    <t>Vorlage Leer Niederlaendisch</t>
  </si>
  <si>
    <t>EtherCAT Diagnose Spanisch</t>
  </si>
  <si>
    <t>EtherCAT Diagnose Niederlaendisch</t>
  </si>
  <si>
    <t>%1 : Verbindungsfehler an Buchse A , Anzahl der vermissten Teilnehmer %2 - erster vermisster Teilnehmer %3</t>
  </si>
  <si>
    <t>%1 : Fehler an Teilnehmer %3 : Status = %2</t>
  </si>
  <si>
    <t>CanOpen Franzoesisch</t>
  </si>
  <si>
    <t>CanOpen Spanisch</t>
  </si>
  <si>
    <t>CanOpen Niederlaendisch</t>
  </si>
  <si>
    <t>Sicherheits Ein- und Ausgaenge Franzoesisch</t>
  </si>
  <si>
    <t>Sicherheits Ein- und Ausgaenge Spanisch</t>
  </si>
  <si>
    <t>Sicherheits Ein- und Ausgaenge Niederlaendisch</t>
  </si>
  <si>
    <t>%2 %1 %3</t>
  </si>
  <si>
    <t>ne se traduit pas %2 %1 %3</t>
  </si>
  <si>
    <t>no traducidas %2 %1 %3</t>
  </si>
  <si>
    <t>niet vertaald %2 %1 %3</t>
  </si>
  <si>
    <t>%2 - Endlage Positiv betaetigt %1 %3</t>
  </si>
  <si>
    <t>%2 - Endlage Neagtiv betaetigt %1 %3</t>
  </si>
  <si>
    <t>Plc NC-Achse Nachricht Spanisch</t>
  </si>
  <si>
    <t>Plc NC-Achse Nachricht Niederlaendisch</t>
  </si>
  <si>
    <t xml:space="preserve">%1 %2 %3 @V1:%4 %5 @V2:%6 </t>
  </si>
  <si>
    <t>CanOpen Antriebregeler Franzoesisch</t>
  </si>
  <si>
    <t>CanOpen Antriebregeler Spanisch</t>
  </si>
  <si>
    <t>CanOpen Antriebregeler Niederlaendisch</t>
  </si>
  <si>
    <t>%2 - Einschaltung deaktiviert %1 %3</t>
  </si>
  <si>
    <t>PLC error: checkbounds error %1 %2 %3</t>
  </si>
  <si>
    <t>Priorität</t>
  </si>
  <si>
    <t>Sicherheitstechnik</t>
  </si>
  <si>
    <t>Anlage Warnung</t>
  </si>
  <si>
    <t>Anlage Hinweis</t>
  </si>
  <si>
    <t>Anlage Alarm</t>
  </si>
  <si>
    <t xml:space="preserve">Programmfehler: Checkbounds %3 %1 %2 </t>
  </si>
  <si>
    <t>Persistente Daten konnten nicht geladen werden (Alte Daten geladen)  %1 %2 %3</t>
  </si>
  <si>
    <t>Spannungsversorgung ueber Betterie aktiv%1 %2 %3</t>
  </si>
  <si>
    <t>Stoerung Drehzahl Luefter Nr.: %1 %2 %3</t>
  </si>
  <si>
    <t>Stoerung einer Spannungsversorgung Ist: %1 , Soll: %2 %3</t>
  </si>
  <si>
    <t>Warnung Motherboard Temperatur: %1 Grad % %1 %2 %3</t>
  </si>
  <si>
    <t>Warnung CPU Temperatur: %1 Grad %2 %3</t>
  </si>
  <si>
    <t>%1 - Sitzventil meldet nicht geöffnet %2%3</t>
  </si>
  <si>
    <t>%1 - Sitzventil meldet nicht geschlossen %2%3</t>
  </si>
  <si>
    <t>%1 - Störung Analoge Druckmessung Seite A %2%3</t>
  </si>
  <si>
    <t>%1 - Störung Analoge Druckmessung Seite B %2%3</t>
  </si>
  <si>
    <t>%1 - Busklemme Druckmessung nicht BTB (OP) %2%3</t>
  </si>
  <si>
    <t>%1 - Parameter nicht geladen %2%3</t>
  </si>
  <si>
    <t>%1 - Ventil Alarm Offset %2%3</t>
  </si>
  <si>
    <t>%1 - Ventil Alarm Gain %2%3</t>
  </si>
  <si>
    <t>%1 - Ventil Warnung Range %2%3</t>
  </si>
  <si>
    <t>%1 - Ventil Alarm Range %2%3</t>
  </si>
  <si>
    <t>Stoerung Motherboard Temperatur zu hoch: %1 Grad %2 %3</t>
  </si>
  <si>
    <t>Stoerung CPU Temperatur zu hoch: %1 Grad %2 %3</t>
  </si>
  <si>
    <t>NC-Achse</t>
  </si>
  <si>
    <t>Raid-System - Controller meldet Fehler (siehe SPS-Status für Fehlernummer) %1 %2 %3</t>
  </si>
  <si>
    <t>Raid-System - nicht in Normalbetrieb  (siehe SPS-Status für weitere Informationen) %1 %2 %3</t>
  </si>
  <si>
    <t>%2 - Free %1 %3</t>
  </si>
  <si>
    <t>%2 - NC-error drive %1 %3</t>
  </si>
  <si>
    <t>%2 - NC-Stoerung IO Kommunikation zum Antrieb %1 %3</t>
  </si>
  <si>
    <t>%2 - NC-Stoerung Antrieb %1 %3</t>
  </si>
  <si>
    <t>%2 - Referenzfahrt aktiv %1 %3</t>
  </si>
  <si>
    <t>%2 - NC-error IO communication to drive %1 %3</t>
  </si>
  <si>
    <t>%1 Note %2 : Station deactivated %3</t>
  </si>
  <si>
    <t>%1 Note %2 : Station not exists %3</t>
  </si>
  <si>
    <t>%1 Knoten %2 : Master lock %3</t>
  </si>
  <si>
    <t>%1 Note %2 : Master lock %3</t>
  </si>
  <si>
    <t>%1 Note %2 : Invalid slave response %3</t>
  </si>
  <si>
    <t>%1 Note %2 : Parameter fault %3</t>
  </si>
  <si>
    <t>%1 Note %2 : Not supported %3</t>
  </si>
  <si>
    <t>%1 Note %2 : Config fault %3</t>
  </si>
  <si>
    <t>%1 Note %2 : Station not ready %3</t>
  </si>
  <si>
    <t>%1 Note %2 : Static diagnosis %3</t>
  </si>
  <si>
    <t>%1 Note %2 : Diagnosis overflow %3</t>
  </si>
  <si>
    <t>%1 Note %2 : Physical fault %3</t>
  </si>
  <si>
    <t>%1 Knoten %2 : Data-Exchange left %3</t>
  </si>
  <si>
    <t>%1 Note %2 : Data-Exchange left %3</t>
  </si>
  <si>
    <t>%1 Note %2 : Severe bus fault %3</t>
  </si>
  <si>
    <t>%1 Note %2 : Telegram fault %3</t>
  </si>
  <si>
    <t>%1 Note %2 : Station has no ressources %3</t>
  </si>
  <si>
    <t>%1 Note %2 : Service not activated %3</t>
  </si>
  <si>
    <t>%1 Note %2 : Unexpected telegram %3</t>
  </si>
  <si>
    <t>%1 Note %2 : Station ready %3</t>
  </si>
  <si>
    <t>%1 Knoten %2 : WC-State of cyclic EtherCAT frame is 1 %3</t>
  </si>
  <si>
    <t>%1 Note %2 : WC-State of cyclic EtherCAT frame is 1 %3</t>
  </si>
  <si>
    <t>%1 Note %2 : slave, waiting for data transfer (or DP-Master in CLEAR-Mode) %3</t>
  </si>
  <si>
    <t>%1 Note %2 : slave, waiting for configuration %3</t>
  </si>
  <si>
    <t>%1 Note %2 : slave, waiting for parameter %3</t>
  </si>
  <si>
    <t>%1 Note %2 : slave, waiting for baudrate %3</t>
  </si>
  <si>
    <t>%1 Note %2 : only for EtherCAT gateways: WC-State of cyclic EtherCAT frame is 1 %3</t>
  </si>
  <si>
    <t>%1 Knoten %2 : slave, wartet auf Konfiguration %3</t>
  </si>
  <si>
    <t>%1 Knoten %2 : slave, wartet auf Datentransfer (or DP-Master in CLEAR-Mode) %3</t>
  </si>
  <si>
    <t>%1 Knoten %2 : nur für EtherCAT gateways: WC-State of cyclic EtherCAT frame is 1 %3</t>
  </si>
  <si>
    <t>%1 Knoten %2 : slave, warten auf baudrate %3</t>
  </si>
  <si>
    <t>%1 Knoten %2 : slave, warten auf parameter %3</t>
  </si>
  <si>
    <t>%1 Knoten %2 : slave, warten auf configuration %3</t>
  </si>
  <si>
    <t>%1 Knoten %2 : slave, warten auf data transfer (or DP-Master in CLEAR-Mode) %3</t>
  </si>
  <si>
    <t>%1 Knoten %2 : Station bereit %3</t>
  </si>
  <si>
    <t>%1 Knoten %2 : Unerwartetes Telegramm %3</t>
  </si>
  <si>
    <t>%1 Knoten %2 : Slave nicht aktiviert %3</t>
  </si>
  <si>
    <t>%1 Knoten %2 : Station hat keine resourcen %3</t>
  </si>
  <si>
    <t>%1 Knoten %2 : Telegram fehlerhaft %2 %3</t>
  </si>
  <si>
    <t>%1 Knoten %2 : Bus konnte nicht bedient werden %3</t>
  </si>
  <si>
    <t>%1 Knoten %2 : Physikalischer fehler %3</t>
  </si>
  <si>
    <t>%1 Knoten %2 : Diagnose überlauf %3</t>
  </si>
  <si>
    <t>%1 Knoten %2 : Statische Diagnose %3</t>
  </si>
  <si>
    <t>%1 Knoten %2 : Station nicht bereit %3</t>
  </si>
  <si>
    <t>%1 Knoten %2 : Konfiguration fehlerhat %3</t>
  </si>
  <si>
    <t>%1 Knoten %2 : Nicht unterstützt %3</t>
  </si>
  <si>
    <t>%1 Knoten %2 : Parameter fehler %3</t>
  </si>
  <si>
    <t>%1 Knoten %2 : Ungültige Slave Antwort %3</t>
  </si>
  <si>
    <t>%1 Knoten %2 : Station nicht vorhanden %3</t>
  </si>
  <si>
    <t>%1 Knoten %2 : Station deaktiviert %3</t>
  </si>
  <si>
    <t>plant general alarm IO</t>
  </si>
  <si>
    <t>%1 %2 @V1:%3 @CH:%4 @FILE:%5 @FOFFS:%6 @BOFFS:0 @PINFO:%7 @VER:%8</t>
  </si>
  <si>
    <t>%2 - Frei %1 %3</t>
  </si>
  <si>
    <t>NCI-Gruppe</t>
  </si>
  <si>
    <t>NCI-Gruppe Franzoesisch</t>
  </si>
  <si>
    <t>NCI-Gruppe Spanisch</t>
  </si>
  <si>
    <t>NCI-Gruppe Niederlaendisch</t>
  </si>
  <si>
    <t>KIN-Gruppe</t>
  </si>
  <si>
    <t>KIN group</t>
  </si>
  <si>
    <t>KIN-Gruppe Franzoesisch</t>
  </si>
  <si>
    <t>KIN-Gruppe Spanisch</t>
  </si>
  <si>
    <t>KIN-Gruppe Niederlaendisch</t>
  </si>
  <si>
    <t>XTS-Gruppe</t>
  </si>
  <si>
    <t>XTS group</t>
  </si>
  <si>
    <t>XTS-Gruppe Franzoesisch</t>
  </si>
  <si>
    <t>XTS-Gruppe Spanisch</t>
  </si>
  <si>
    <t>XTS-Gruppe Niederlaendisch</t>
  </si>
  <si>
    <t>CA-Gruppe</t>
  </si>
  <si>
    <t>CA group</t>
  </si>
  <si>
    <t>CA-Gruppe Franzoesisch</t>
  </si>
  <si>
    <t>CA-Gruppe Spanisch</t>
  </si>
  <si>
    <t>CA-Gruppe Niederlaendisch</t>
  </si>
  <si>
    <t>PP-Gruppe</t>
  </si>
  <si>
    <t>PP group</t>
  </si>
  <si>
    <t>PP-Gruppe Franzoesisch</t>
  </si>
  <si>
    <t>PP-Gruppe Spanisch</t>
  </si>
  <si>
    <t>PP-Gruppe Niederlaendisch</t>
  </si>
  <si>
    <t>%1 - Not Translated %2 %3</t>
  </si>
  <si>
    <t>Hydraulik Antriebsregler</t>
  </si>
  <si>
    <t>Profibus Diagnose</t>
  </si>
  <si>
    <t>Profibus diagnosis</t>
  </si>
  <si>
    <t>Anlage IO</t>
  </si>
  <si>
    <t>%3: Funktionsbaustein Nr.%1 %2</t>
  </si>
  <si>
    <t>Power supply over battery activ  %1 %2 %3</t>
  </si>
  <si>
    <t>CPU Overtemperature: %1 degree %2 %3</t>
  </si>
  <si>
    <t>Motherboard Overtempertaure%1 %2 %3</t>
  </si>
  <si>
    <t>Error fan %1 %2 %3</t>
  </si>
  <si>
    <t>Warning - CPU temerature %1 degree %2 %3</t>
  </si>
  <si>
    <t>Warning - Motherboard temerature %1 degree %2 %3</t>
  </si>
  <si>
    <t>Error power supply act.: %1 set.: %2 %3</t>
  </si>
  <si>
    <t>CoE Drive</t>
  </si>
  <si>
    <t>%2 - Internal limitation activ (Current/Voltage) %1 %3</t>
  </si>
  <si>
    <t>%2 - Switch on disabled %1 %3</t>
  </si>
  <si>
    <t>%2 -  %1 %3</t>
  </si>
  <si>
    <t>CoE Antriebsregler</t>
  </si>
  <si>
    <t>%2 - Interne Endlage Betaetigt (Strom/Spannung) %1 %3</t>
  </si>
  <si>
    <t>EtherCAT</t>
  </si>
  <si>
    <t>CanOpen</t>
  </si>
  <si>
    <t>%1 : Kontroller hat Bus abgeschaltet %2 %3</t>
  </si>
  <si>
    <t>%1 : Controller warnung Limit erreicht %2 %3</t>
  </si>
  <si>
    <t>%1 : Telegrammwarteschlange ueberlauf %2 %3</t>
  </si>
  <si>
    <t>%1 : Telegrammwarteschlange hohe Priorität ueberlauf %2 %3</t>
  </si>
  <si>
    <t>%1 : Telegrammwarteschlange nidrige Priorität ueberlauf %2 %3</t>
  </si>
  <si>
    <t>%1 : Sendefehler %2 %3</t>
  </si>
  <si>
    <t>%1 : Empfangsfehler Nummer: %2 %3</t>
  </si>
  <si>
    <t>%1 : Sendefehler Nummer: %2 %3</t>
  </si>
  <si>
    <t>%1 : CAN-Controller is in BUS-OFF %2 %3</t>
  </si>
  <si>
    <t>%1 : CAN-Controller warning limit reached %2 %3</t>
  </si>
  <si>
    <t>%1 : Rx-Queue overrun %2 %3</t>
  </si>
  <si>
    <t>%1 : Hi-Prio Tx-Queue overrun %2 %3</t>
  </si>
  <si>
    <t>%1 : Lo-Prio Tx-Queue overrun %2 %3</t>
  </si>
  <si>
    <t>%1 : CAN-Send Error %2 %3</t>
  </si>
  <si>
    <t>%1 : CAN-Queue: the internal RxQueue has an overflow %2 %3</t>
  </si>
  <si>
    <t>%1 : CAN-Queue: the internal TxQueue has an overflow %2 %3</t>
  </si>
  <si>
    <t>%1 : %2 %3</t>
  </si>
  <si>
    <t>Sercos</t>
  </si>
  <si>
    <t>%1 : Nicht in Phase 4 %2 %3</t>
  </si>
  <si>
    <t>%1 : System Error: %2 %3</t>
  </si>
  <si>
    <t>%1 : Nicht in Phase 4 %2 %6</t>
  </si>
  <si>
    <t>%1 : Nicht in Phase 4 %2 %7</t>
  </si>
  <si>
    <t>%1 : Nicht in Phase 4 %2 %8</t>
  </si>
  <si>
    <t>%1 : System Error: %2 %6</t>
  </si>
  <si>
    <t>%1 : System Error: %2 %7</t>
  </si>
  <si>
    <t>%1 : System Error: %2 %8</t>
  </si>
  <si>
    <t>%1 : not in phase 4 %2 %4</t>
  </si>
  <si>
    <t>%1 : system Error: %2 %4</t>
  </si>
  <si>
    <t>Deutsch</t>
  </si>
  <si>
    <t>englisch</t>
  </si>
  <si>
    <t>中國</t>
  </si>
  <si>
    <t>投資注意事項</t>
  </si>
  <si>
    <t>未翻譯 %1 %2 %3</t>
  </si>
  <si>
    <t>français</t>
  </si>
  <si>
    <t>español</t>
  </si>
  <si>
    <t>nederlandse</t>
  </si>
  <si>
    <r>
      <rPr>
        <sz val="10"/>
        <rFont val="宋体"/>
        <family val="3"/>
        <charset val="134"/>
      </rPr>
      <t>安全</t>
    </r>
    <r>
      <rPr>
        <sz val="10"/>
        <rFont val="Arial"/>
        <family val="2"/>
      </rPr>
      <t xml:space="preserve"> PLC</t>
    </r>
  </si>
  <si>
    <t>türk</t>
  </si>
  <si>
    <t>český</t>
  </si>
  <si>
    <t>polski</t>
  </si>
  <si>
    <t>русский</t>
  </si>
  <si>
    <t>General hint</t>
  </si>
  <si>
    <t>General warning</t>
  </si>
  <si>
    <t>General machine data not loaded (xml file) %1 %2 %3</t>
  </si>
  <si>
    <t>Allg. Maschinendaten nicht geladen %1 %2 %3</t>
  </si>
  <si>
    <t>PLC error: no persistent data loaded - data are set to default values %1 %2 %3</t>
  </si>
  <si>
    <t>Persistente Daten konnten nicht geladen werden - Default Werte aktiviert  %1 %2 %3</t>
  </si>
  <si>
    <t>PLC error: loading persistent data - old data loaded %1 %2 %3</t>
  </si>
  <si>
    <t>General alarm</t>
  </si>
  <si>
    <t>Reserved %1 %2 %3</t>
  </si>
  <si>
    <t>%3: No safety project loaded (CRC=0) %1 %2</t>
  </si>
  <si>
    <t>%3: Outputsize Mismatch%1 %2</t>
  </si>
  <si>
    <t>%3: Inputsize Mismatch%1 %2</t>
  </si>
  <si>
    <t>%2 - soft limit maximum exceeded %1 %3</t>
  </si>
  <si>
    <t>%2 -  Software Endlage Maximum errreicht %1 %3</t>
  </si>
  <si>
    <t>%2 - soft limit minimum exceeded %1 %3</t>
  </si>
  <si>
    <t>%2 -  Software Endlage Minimum errreicht %1 %3</t>
  </si>
  <si>
    <t>%2 - calibration active %1 %3</t>
  </si>
  <si>
    <t>%2 - Limit sensor negativ tripped %1 %3</t>
  </si>
  <si>
    <t>%2 - Limit sensor positiv tripped %1 %3</t>
  </si>
  <si>
    <t>%2 - Warnung aktiv %1 %3</t>
  </si>
  <si>
    <t>%2 - Stoerung aktiv %1 %3</t>
  </si>
  <si>
    <t>%2 - nicht zur Leistungszuschaltung bereit %1 %3</t>
  </si>
  <si>
    <t>%2 - Fieldbus watchdog %1 %3</t>
  </si>
  <si>
    <t>%2 - Feldbus Watchdog %1 %3</t>
  </si>
  <si>
    <t>%2 - error encoder %1 %3</t>
  </si>
  <si>
    <t>%2 - Fehler Encoder %1 %3</t>
  </si>
  <si>
    <t>%2 - I2T error motor %1 %3</t>
  </si>
  <si>
    <t>%2 - I2T Fehler Motor %1 %3</t>
  </si>
  <si>
    <t>%2 - I2T error Amplifier %1 %3</t>
  </si>
  <si>
    <t>%2 - I2T Fehler Amplifier %1 %3</t>
  </si>
  <si>
    <t>%2 - Undervoltage %1 %3</t>
  </si>
  <si>
    <t>%2 - Unterspannung %1 %3</t>
  </si>
  <si>
    <t>%2 - Overvoltage %1 %3</t>
  </si>
  <si>
    <t>%2 - Ueberspannung %1 %3</t>
  </si>
  <si>
    <t>%2 - Overcurrent %1 %3</t>
  </si>
  <si>
    <t>%2 - Ueberstrom %1 %3</t>
  </si>
  <si>
    <t>%2 - ADC error %1 %3</t>
  </si>
  <si>
    <t>%2 - Remote control over fieldbus not active %1 %3</t>
  </si>
  <si>
    <t>%2 - Ansteuerung ueber Felddbus nicht aktiviert %1 %3</t>
  </si>
  <si>
    <t>%1 : Error slave %3 : State = %2</t>
  </si>
  <si>
    <t>%1 : Link error at Port A , no of missed slaves %2 - first missed slave %3</t>
  </si>
  <si>
    <t>%1 : State: %3 %2</t>
  </si>
  <si>
    <t>%1 : Status: %3 %2</t>
  </si>
  <si>
    <t>NCI channel</t>
  </si>
  <si>
    <t>%2 - Estop aktiviert %1 %3</t>
  </si>
  <si>
    <t>%2 - Estop requested %1 %3</t>
  </si>
  <si>
    <t>%2 - Interpreter liest aus Backup Liste %1 %3</t>
  </si>
  <si>
    <t>%2 - Faehrt rueckwaerts %1 %3</t>
  </si>
  <si>
    <t>%2 - is moving backwards %1 %3</t>
  </si>
  <si>
    <t>%2 - is feed from backup list %1 %3</t>
  </si>
  <si>
    <t>TwinSAFE plc programm backup/restore active %1 %2 %3</t>
  </si>
  <si>
    <t>Invalid safety project on safety plc (EL69xx) - CRC different to project settings %1 %2 %3</t>
  </si>
  <si>
    <t>No project on safety PLC - Press Reset to start restore %1 %2 %3</t>
  </si>
  <si>
    <t>Light curtain interrupted %1 %2 %3</t>
  </si>
  <si>
    <t>Safety plc - Safety group - Communikation error%1 %2 %3</t>
  </si>
  <si>
    <t>Safety plc - Safety group - TwinSAFE output error (=1.3+S1-SO1) %1 %2 %3</t>
    <phoneticPr fontId="3" type="noConversion"/>
  </si>
  <si>
    <t>Safety plc - Safety group error functionblock (See list for detailed information) %1 %2 %3</t>
  </si>
  <si>
    <t>E-Hold tripped - Release E-Stop button %1 %2 %3</t>
  </si>
  <si>
    <t>Ready to reset E-Hold %1 %2 %3</t>
  </si>
  <si>
    <t>安全</t>
    <phoneticPr fontId="3" type="noConversion"/>
  </si>
  <si>
    <t>Safety</t>
    <phoneticPr fontId="3" type="noConversion"/>
  </si>
  <si>
    <t>Simulation active %1 %2 %3</t>
  </si>
  <si>
    <t>Step mode active %1 %2 %3</t>
  </si>
  <si>
    <t>Machine parameter not valid - file: %2 %1 %3</t>
  </si>
  <si>
    <t>Error sequence in state %1 at %2 - %3</t>
  </si>
  <si>
    <t>Aggregat 1</t>
  </si>
  <si>
    <t>Station 1 Control Unit</t>
  </si>
  <si>
    <t>NC axis</t>
  </si>
  <si>
    <t>Not translated %1 %2 %3</t>
  </si>
  <si>
    <t>Profinet Diagnose</t>
  </si>
  <si>
    <t>Profinet diagnosis</t>
  </si>
  <si>
    <t>Started %1%2 %3</t>
  </si>
  <si>
    <t>System gestarted %1 %2 %3</t>
  </si>
  <si>
    <t>Starting (step 9) %1 %2 %3</t>
  </si>
  <si>
    <t>System startet (Schritt 9) %1 %2 %3</t>
  </si>
  <si>
    <t>Starting (step 8) %1 %2 %3</t>
  </si>
  <si>
    <t>System startet (Schritt 8) %1 %2 %3</t>
  </si>
  <si>
    <t>Starting (step 7) %1 %2 %3</t>
  </si>
  <si>
    <t>System startet (Schritt 7) %1 %2 %3</t>
  </si>
  <si>
    <t>Starting (step 6) %1 %2 %3</t>
  </si>
  <si>
    <t>System startet (Schritt 6) %1 %2 %3</t>
  </si>
  <si>
    <t>Starting (step 5) %1 %2 %3</t>
  </si>
  <si>
    <t>System startet (Schritt 5) %1 %2 %3</t>
  </si>
  <si>
    <t>Starting (step 4) %1 %2 %3</t>
  </si>
  <si>
    <t>System startet (Schritt 4) %1 %2 %3</t>
  </si>
  <si>
    <t>Starting (step 3) %1 %2 %3</t>
  </si>
  <si>
    <t>System startet (Schritt 3) %1 %2 %3</t>
  </si>
  <si>
    <t>Starting (step 2) %1 %2 %3</t>
  </si>
  <si>
    <t>System startet (Schritt 2) %1 %2 %3</t>
  </si>
  <si>
    <t>Starting (step 1) %1 %2 %3</t>
  </si>
  <si>
    <t>System startet (Schritt 1) %1 %2 %3</t>
  </si>
  <si>
    <t>systeem</t>
  </si>
  <si>
    <t>Analge Spanisch</t>
  </si>
  <si>
    <t>Analge Franzoesisch</t>
  </si>
  <si>
    <t>System</t>
  </si>
  <si>
    <t>Anlage</t>
  </si>
  <si>
    <t>Antriebsregler Schrittmotor</t>
  </si>
  <si>
    <t>Stepper drive</t>
  </si>
  <si>
    <t>%2 - Torque overload %1 %3</t>
  </si>
  <si>
    <t>%2 - Voltage error - No control power / Undervoltage / Overvoltage %1 %3</t>
  </si>
  <si>
    <t>%2 - Motor coil error - Short circuit / Open load coil A or B / No motor connected  %1 %3</t>
  </si>
  <si>
    <t>%2 - Motor saturated %1 %3</t>
  </si>
  <si>
    <t>%2 - Drive overtemperature %1 %3</t>
  </si>
  <si>
    <t>%2 - Endlage Negative betaetigt %1 %3</t>
  </si>
  <si>
    <t>Class</t>
  </si>
  <si>
    <t>Priority</t>
  </si>
  <si>
    <t>Quit requiered</t>
  </si>
  <si>
    <t>Description</t>
  </si>
  <si>
    <t>None</t>
  </si>
  <si>
    <t>Maintenance</t>
  </si>
  <si>
    <t>Message</t>
  </si>
  <si>
    <t>Hint</t>
  </si>
  <si>
    <t>StateInfo</t>
  </si>
  <si>
    <t>Instruction</t>
  </si>
  <si>
    <t>Warning</t>
  </si>
  <si>
    <t>Alarm</t>
  </si>
  <si>
    <t>Parameter Error</t>
  </si>
  <si>
    <t>Parameter settings of ET-Lib</t>
  </si>
  <si>
    <t>Error TwinSAFE restore state machine: %3 %1 %2</t>
  </si>
  <si>
    <t>Safety plc - Safety group - TwinSAFE output terminal error %1 %2 %3</t>
  </si>
  <si>
    <t>Safety plc - Safety group - Communikation error %1 %2 %3</t>
  </si>
  <si>
    <t>Safety plc - Safety group - Unknown error %1 %2 %3</t>
  </si>
  <si>
    <t>Safety plc - Safety group - Unknown error%1 %2 %3</t>
  </si>
  <si>
    <t>Safety IO - temperature warning on a safety terminal</t>
  </si>
  <si>
    <t>Safety IO - temperature error on a safety terminal</t>
  </si>
  <si>
    <t>Safety IO - temperature check failed</t>
  </si>
  <si>
    <t>Safety circtuit interrupted %1 %2 %3</t>
  </si>
  <si>
    <t>Safety circuit interrupted and ready to reset %1 %2 %3</t>
  </si>
  <si>
    <t>Safety door 1 openened %1 %2 %3</t>
  </si>
  <si>
    <t>Safety door 2 openened %1 %2 %3</t>
  </si>
  <si>
    <t>%3: Function block No.%1 %2</t>
  </si>
  <si>
    <r>
      <t>%3: 功能块</t>
    </r>
    <r>
      <rPr>
        <sz val="10"/>
        <rFont val="Arial"/>
        <family val="2"/>
      </rPr>
      <t xml:space="preserve"> No.%1 %2</t>
    </r>
    <r>
      <rPr>
        <sz val="11"/>
        <color theme="1"/>
        <rFont val="Calibri"/>
        <family val="2"/>
        <scheme val="minor"/>
      </rPr>
      <t/>
    </r>
  </si>
  <si>
    <t>%2 - Information: 0x%X, 0x%X, 0x%X %1 %3</t>
  </si>
  <si>
    <t>%2 - Verbindung zur Feldseite wiederhergestellt %1 %3</t>
  </si>
  <si>
    <t>%2 - Warnung: 0x%X, 0x%X, 0x%X %1 %3</t>
  </si>
  <si>
    <t>%2 - Klemmen-uebertemperatur %1 %3</t>
  </si>
  <si>
    <t>%2 - Encoder-Warnung %1 %3</t>
  </si>
  <si>
    <t>%2 - Unterspannung DC-Zwischenkreis %1 %3</t>
  </si>
  <si>
    <t>%2 - I2T-Modell Verstaerker ueberlast %1 %3</t>
  </si>
  <si>
    <t>%2 - 2T-Modell Motor ueberlast %1 %3</t>
  </si>
  <si>
    <t>%2 - Geschwindigkeit wird begrenzt %1 %3</t>
  </si>
  <si>
    <t>%2 - Fehler: 0x%X, 0x%X, 0x%X %1 %3</t>
  </si>
  <si>
    <t>%2 - Kommunikation abgebrochen %1 %3</t>
  </si>
  <si>
    <t>%2 - Konfigurationsfehler: 0x%X, 0x%X, 0x%X %1 %3</t>
  </si>
  <si>
    <t>%2 - Ungltige Kombination von In- und Output PDOs %1 %3</t>
  </si>
  <si>
    <t>%2 - Keine Variablen verknuepft %1 %3</t>
  </si>
  <si>
    <t>%2 - PD-Watchdog %1 %3</t>
  </si>
  <si>
    <t>%2 - Zykluszeit muss ein vielfaches von 0.125 ms sein %1 %3</t>
  </si>
  <si>
    <t>%2 - Keine Kommunikation zur Feldseite (Hilfsspannung fehlt) %1 %3</t>
  </si>
  <si>
    <t>%2 - Encoder-Fehler %1 %3</t>
  </si>
  <si>
    <t>%2 - Fehler bei der ADC-Strommessung %1 %3</t>
  </si>
  <si>
    <t>%2 - Ueberstrom auf Phase U, V oder W %1 %3</t>
  </si>
  <si>
    <t>%2 - Ueberspannung DC-Zwischenkreis %1 %3</t>
  </si>
  <si>
    <t>%2 - I2T-Modell Motor ueberlast %1 %3</t>
  </si>
  <si>
    <t>%2 - Debug: 0x%X, 0x%X, 0x%X %1 %3</t>
  </si>
  <si>
    <t>%2 - Information: 0x%X, 0x%X, 0x%X  %1 %3</t>
  </si>
  <si>
    <t>%2 - Communication re-established %1 %3</t>
  </si>
  <si>
    <t>%2 - Warning: 0x%X, 0x%X, 0x%X %1 %3</t>
  </si>
  <si>
    <t>%2 - Terminal-Overtemperature %1 %3</t>
  </si>
  <si>
    <t>%2 - Encoder-Warning %1 %3</t>
  </si>
  <si>
    <t>%2 - DC-Link undervoltage %1 %3</t>
  </si>
  <si>
    <t>%2 - DC-Link overvoltage %1 %3</t>
  </si>
  <si>
    <t>%2 - I2T Amplifier overload %1 %3</t>
  </si>
  <si>
    <t>%2 - I2T Motor overload %1 %3</t>
  </si>
  <si>
    <t>%2 - Speed limitation active %1 %3</t>
  </si>
  <si>
    <t>%2 - Error: 0x%X, 0x%X, 0x%X %1 %3</t>
  </si>
  <si>
    <t>%2 - Communication aborted %1 %3</t>
  </si>
  <si>
    <t>%2 - Configuration error: 0x%X, 0x%X, 0x%X %1 %3</t>
  </si>
  <si>
    <t>%2 - Invalid combination of Inputs and Outputs PDOs %1 %3</t>
  </si>
  <si>
    <t>%2 - No variable linkage %1 %3</t>
  </si>
  <si>
    <t>%2 - Cycletime has to be a multiple of 0.125 ms %1 %3</t>
  </si>
  <si>
    <t>%2 - No communication to field-side (Auxiliary voltage missing) %1 %3</t>
  </si>
  <si>
    <t>%2 - Encoder-Error %1 %3</t>
  </si>
  <si>
    <t>%2 - ADC Error %1 %3</t>
  </si>
  <si>
    <t>%2 - Overcurrent on U,V or W phase %1 %3</t>
  </si>
  <si>
    <t>%2 - Undervoltage DC-Link %1 %3</t>
  </si>
  <si>
    <t>%2 - Overvoltage DC-Link %1 %3</t>
  </si>
  <si>
    <t>%2 - I2T-Model Amplifier overload %1 %3</t>
  </si>
  <si>
    <t>%2 - I2T-Model motor overload %1 %3</t>
  </si>
  <si>
    <t>%2 - nicht zur Leistungszuschaltung bereit  %1 %3</t>
  </si>
  <si>
    <t xml:space="preserve">%2 - Stoerung : %3 %1 </t>
  </si>
  <si>
    <t>%2 - Motorschutzschalter hat ausgeloest  %1 %3</t>
  </si>
  <si>
    <t>%2 - Motor protective circuit-breaker tripped  %1 %3</t>
  </si>
  <si>
    <t>%2 - Fehler in Sicherheitskarte  %1 %3</t>
  </si>
  <si>
    <t>%2 - Error : %3 %1</t>
  </si>
  <si>
    <t>%2 - Error diagnostic FB : %3 %1</t>
  </si>
  <si>
    <t>%1 : Fehlerhafte Teilnehmer Anzahl - %2 , erster Teinehmer mit Fehler %3</t>
  </si>
  <si>
    <t>%2 - Klemmen-Uebertemperatur %1 %3</t>
  </si>
  <si>
    <t>SoE drive</t>
  </si>
  <si>
    <t>SoE Drive Franzoesisch</t>
  </si>
  <si>
    <t>SoE Drive Antriebsregler Spanisch</t>
  </si>
  <si>
    <t>SoE Drive Antriebsregler Niederlaendisch</t>
  </si>
  <si>
    <t>%2 - Error Diagnose FB : %3 %1</t>
  </si>
  <si>
    <t>Hydr. Drive</t>
  </si>
  <si>
    <t>Hdyr. Drive</t>
  </si>
  <si>
    <t>Hydr. Drive Spanisch</t>
  </si>
  <si>
    <t>Hydr. Drive Niederlaendisch</t>
  </si>
  <si>
    <t>Stepper Drive Franzoesisch</t>
  </si>
  <si>
    <t>Stepper Drive Spanisch</t>
  </si>
  <si>
    <t>Stepper Drive Niederlaendisch</t>
  </si>
  <si>
    <t>Stepper Drive</t>
  </si>
  <si>
    <t>%2 - Warnung aktiv / Konfigurationsfehler %1 %3</t>
  </si>
  <si>
    <t>%2 - not ready to enable %1 %3</t>
  </si>
  <si>
    <t>%2 - Error aktive %1 %3</t>
  </si>
  <si>
    <t>%2 - Warning aktive / Error Configuration %1 %3</t>
  </si>
  <si>
    <t>%2 - Error active %1 %3</t>
  </si>
  <si>
    <t>%2 - Warning active %1 %3</t>
  </si>
  <si>
    <t>%2 - Drive not ready to enable  %1 %3</t>
  </si>
  <si>
    <t>%2  - Not ready to enable %1 %3</t>
  </si>
  <si>
    <t>%2 - safety card error %1 %3</t>
  </si>
  <si>
    <t>%2 - Not ready to enable  %1 %3</t>
  </si>
  <si>
    <t>SoE Antriebsregler</t>
  </si>
  <si>
    <t>V3.1.0</t>
  </si>
  <si>
    <t>Safety IOs</t>
  </si>
  <si>
    <t>%3: Cycle counter timeout %1 %2</t>
  </si>
  <si>
    <t>%3: in invalid logic state %1 %2</t>
  </si>
  <si>
    <t>Safety Logic</t>
  </si>
  <si>
    <t>Safety Logik</t>
  </si>
  <si>
    <t>%3: Kein Project geladen (CRC=0) %1 %2</t>
  </si>
  <si>
    <t>%3: in ungueltigem Zustand %1 %2</t>
  </si>
  <si>
    <t xml:space="preserve">%1 : FrmWcState - Fehler in working counter des EtherCAT Kommandos empfangen, %2 , MasterStatus = %3 </t>
  </si>
  <si>
    <t>%1 : Watchdog triggered , Master status = %3 %2</t>
  </si>
  <si>
    <t>%1 : Distributed clocks not in sync, Master status = %3 %2</t>
  </si>
  <si>
    <t>%1 : Out of send resources, Master status = %3 %2</t>
  </si>
  <si>
    <t>%1 : IO locked after link error , Master status = %3 %2</t>
  </si>
  <si>
    <t>%1 : Watchdog ausgeloest , Master status = %3 %2</t>
  </si>
  <si>
    <t>%1 : Distributed Clocks nicht in sync, Master status = %3 %2</t>
  </si>
  <si>
    <t>%1 : Keine Send-Ressourcen vorhanden, Master status = %3 %2</t>
  </si>
  <si>
    <t>%1 : IO locked nach Link Error, Master status = %3 %2</t>
  </si>
  <si>
    <t>%1 : Error slaves count - %2 , first slave with error %3</t>
  </si>
  <si>
    <t>%1 : Keine Teilnehmer Komunikation - erster vermisster Teilnehmer %3  %2 slaves vermisst</t>
  </si>
  <si>
    <t>%1 : No slave communication - first missed slave %3 %2 missed slaves</t>
  </si>
  <si>
    <t>Name: %1 , type %3 - invalid/unknown command %2</t>
  </si>
  <si>
    <t>Name: %1 , type %3 - invalid Connection ID %2</t>
  </si>
  <si>
    <t xml:space="preserve">Name: %1 , type %3 - invalid CRC %2 </t>
  </si>
  <si>
    <t>Name: %1 , type %3 - Watchdog triggered %2</t>
  </si>
  <si>
    <t>Name: %1 , type %3 - invalid FSoE terminal adr. %2</t>
  </si>
  <si>
    <t xml:space="preserve">Name: %1 , type %3 - invalid Data %2 </t>
  </si>
  <si>
    <t>Name: %1 , type %3 - invalid comunication parameter length %2</t>
  </si>
  <si>
    <t>Name: %1 , type %3 - invalid comunication parameter %2</t>
  </si>
  <si>
    <t>Name: %1 , type %3 - invalid user comunication parameter lenght %2</t>
  </si>
  <si>
    <t>Name: %1 , type %3 - invalid user comunication parameter  %2</t>
  </si>
  <si>
    <t xml:space="preserve">Name: %1 , type %3 - FSoE master reset %2 </t>
  </si>
  <si>
    <t xml:space="preserve">Name: %1 , type %3 - Module error detected on slave, with option "Module error is ComError" activated %2 </t>
  </si>
  <si>
    <t xml:space="preserve">Name: %1 , type %3 - Module error detected on EL290x, with option "Error acknowledge active" activated %2 </t>
  </si>
  <si>
    <t xml:space="preserve">Name: %1 , type %3 - Slave not yet started, or unexpected error argument %2 </t>
  </si>
  <si>
    <t xml:space="preserve">Name: %1 , type %3 - FSoE slave error detected %2 </t>
  </si>
  <si>
    <t xml:space="preserve">Name: %1 , type %3 - FSoE slave reports Failsafe Value active %2 </t>
  </si>
  <si>
    <t>Name: %1 , type %3 - FB error reading diagnosis data from device %2</t>
  </si>
  <si>
    <t xml:space="preserve">Name: %1 , type %3 - Error TextID &lt;%2&gt; from diag history (See manual/EtherCAT ESI file for TextId description) </t>
  </si>
  <si>
    <t>Name: %1 , type %3 - Axis 1 shutdown reason code &lt;%2&gt; (See manual for error code name and description)</t>
  </si>
  <si>
    <t>Name: %1 , type %3 - Sensor test error on input no. %2 (e.g. external feed)</t>
  </si>
  <si>
    <t>Name: %1 , type %3 - Error during two-channel evaluation on input no. %2  (i.e. the two channels contradict each other)</t>
  </si>
  <si>
    <t>Name: %1 , type %3 - Error in the safety mat operation mode: input pair disagree %2</t>
  </si>
  <si>
    <t>Name: %1 , type %3 - Error in the test pulses in the safety mat operating mode input no. %2 (i.e. external supply dected)</t>
  </si>
  <si>
    <t>Name: %1 , type %3 - Speed monitoring error, overspeed detected at input no. %2</t>
  </si>
  <si>
    <t>Name: %1 , type %3 - Error in mode "Two channel Sync Velocity Control" on input pair %2 (Both inputs of an input pair were read with inactive state)</t>
  </si>
  <si>
    <t>Name: %1 , type %3 - Error in mode "Two Channel Sync Velo+Encoder Velo Control" on input pair %s</t>
  </si>
  <si>
    <t>Name: %1 , type %3 - Reserve %2</t>
  </si>
  <si>
    <t>Name: %1 , type %3 - External power supply or short circuit on output Nr. %2</t>
  </si>
  <si>
    <t>Name: %1 , type %3 - Open Load/minimal-maximalcurrent at Output Nr. %2</t>
  </si>
  <si>
    <t>Name: %1 , type %3 - Field voltage (Power contacts) too high / low %2</t>
  </si>
  <si>
    <t>Name: %1 , type %3 - Temperature too high %2</t>
  </si>
  <si>
    <t>Name: %1 , type %3 - Temperature too low %2</t>
  </si>
  <si>
    <t>Name: %1 , type %3 - Temperature difference on PCB %2</t>
  </si>
  <si>
    <t>Name: %1 , type %3 - Cross-circuit output 1 and output 2 %2</t>
  </si>
  <si>
    <t>Name: %1 , type %3 - Overvoltage  %2</t>
  </si>
  <si>
    <t>Name: %1 , type %3 - Undervoltage %2</t>
  </si>
  <si>
    <t>Name: %1 , type %3 - Error when testing the field voltage switches %2</t>
  </si>
  <si>
    <t>Name: %1 , type %3 - Start-up of the output circuit failed %2</t>
  </si>
  <si>
    <t>Name: %1 , type %3 - External supply 0V output 1, detected with set output %2</t>
  </si>
  <si>
    <t>Name: %1 , type %3 - External supply 24V output 1 deteced %2</t>
  </si>
  <si>
    <t>Name: %1 , type %3 - External supply 0V on output 1 detected with set output %2</t>
  </si>
  <si>
    <t>Name: %1 , type %3 - External supply 24V on output 2 deteced%2</t>
  </si>
  <si>
    <t>Name: %1 , Typ %3 - Ungueltiges Kommando %2</t>
  </si>
  <si>
    <t>Name: %1 , Typ %3 - Unbekanntes Kommando %2</t>
  </si>
  <si>
    <t>Name: %1 , Typ %3 - Ungueltige Connection ID %2</t>
  </si>
  <si>
    <t xml:space="preserve">Name: %1 , Typ %3 - Ungueltige CRC %2 </t>
  </si>
  <si>
    <t>Name: %1 , Typ %3 - Watchdog abgelaufen %2</t>
  </si>
  <si>
    <t>Name: %1 , Typ %3 - Ungueltige FSoE Klemmen Adr. %2</t>
  </si>
  <si>
    <t xml:space="preserve">Name: %1 , Typ %3 - Ungueltige Daten %2 </t>
  </si>
  <si>
    <t>Name: %1 , Typ %3 - Ungueltige Kommunikationsparameterlaenge %2</t>
  </si>
  <si>
    <t>Name: %1 , Typ %3 - Ungueltige Kommunikationsparameter %2</t>
  </si>
  <si>
    <t>Name: %1 , Typ %3 - Ungueltige Anwenderparameterlaenge %2</t>
  </si>
  <si>
    <t>Name: %1 , Typ %3 - Ungueltige Anwenderparameter %2</t>
  </si>
  <si>
    <t xml:space="preserve">Name: %1 , Typ %3 - FSoE Master Reset %2 </t>
  </si>
  <si>
    <t xml:space="preserve">Name: %1 , Typ %3 - Modulfehler auf Slave erkannt (Option "Modulfehler ist ComError" ist aktiv) %2 </t>
  </si>
  <si>
    <t xml:space="preserve">Name: %1 , Typ %3 - Modulfehler auf EL290x erkannt, bei Option "Error acknowledge active" %2 </t>
  </si>
  <si>
    <t xml:space="preserve">Name: %1 , Typ %3 - Slave noch nicht gestartet, oder unerwartetes Fehlerargument  %2 </t>
  </si>
  <si>
    <t xml:space="preserve">Name: %1 , Typ %3 - Fehler beim FSoE Slave erkannt  %2 </t>
  </si>
  <si>
    <t xml:space="preserve">Name: %1 , Typ %3 - FSoE Slave meldet Failsafe Value aktiv  %2 </t>
  </si>
  <si>
    <t>Name: %1 , Typ %3 - FB Fehler beim Lesen der Diagnosedaten %2</t>
  </si>
  <si>
    <t>Name: %1 , Typ %3 - Fehler TextID &lt;%2&gt; aus Diag History (Siehe Handbuch/EtherCAT ESI File für Fehlerbeschreibung zur TextID)</t>
  </si>
  <si>
    <t>Name: %1 , Typ %3 - Axis 1 Abschaltgrund Code &lt;%2&gt; (Siehe Handbuch für Fehlercode Name und Beschreibung)</t>
  </si>
  <si>
    <t>Name: %1 , Typ %3 - Fehler beim Sensortest (z.B. Fremeinsp.) von Eingang Nr. %2</t>
  </si>
  <si>
    <t>Name: %1 , Typ %3 - Fehler zweikanaliger Auswertung Eingangspaar %2</t>
  </si>
  <si>
    <t>Name: %1 , Typ %3 - Fehler Trittmattenbetriebsart Eingangspaar %2</t>
  </si>
  <si>
    <t>Name: %1 , Typ %3 - Fehler Ueberdrehzahl erkannt an Eingang Nr. %2</t>
  </si>
  <si>
    <t>Name: %1 , Typ %3 - Fehler in Betriebsart "Two Chn. Sync Velo Control" an Eingangspaar %2</t>
  </si>
  <si>
    <t>Name: %1 , Typ %3 - Fehler in Betriebsart "Two Chn. Sync Velo Control+Encoder" an Eingangspaar %2</t>
  </si>
  <si>
    <t>Name: %1 , Typ %3 - Reserve %2</t>
  </si>
  <si>
    <t>Name: %1 , Typ %3 - Fremdeinspeisung oder Querschluss an Ausgang Nr. %2</t>
  </si>
  <si>
    <t>Name: %1 , Typ %3 - Open Load/Mindest-Maximalstrom an Ausgang Nr. %2</t>
  </si>
  <si>
    <t>Name: %1 , Typ %3 - Feldspannung Power-Kontakte zu hoch/niedrig %2</t>
  </si>
  <si>
    <t>Name: %1 , Typ %3 - Klemmentemperatur zu hoch %2</t>
  </si>
  <si>
    <t>Name: %1 , Typ %3 - Klemmentemperatur zu niedrig %2</t>
  </si>
  <si>
    <t>Name: %1 , Typ %3 - Temperaturdifferenz auf/zwischen der Platione zu groß %2</t>
  </si>
  <si>
    <t>Name: %1 , Typ %3 - Querschluss an Ausgang 1 und 2 %2</t>
  </si>
  <si>
    <t>Name: %1 , Typ %3 - Ueberspannung %2</t>
  </si>
  <si>
    <t>Name: %1 , Typ %3 - Unterspannung %2</t>
  </si>
  <si>
    <t>Name: %1 , Typ %3 - Fehler beim Testen der Feldspannungsschalter %2</t>
  </si>
  <si>
    <t>Name: %1 , Typ %3 - Inbetriebnahme der Ausgangsschaltung fehlgeschlagen %2</t>
  </si>
  <si>
    <t>Name: %1 , Typ %3 - Ausgang 1 - Fremdeinspeisung an 0V bei gesetztem Ausgang %2</t>
  </si>
  <si>
    <t>Name: %1 , Typ %3 - Ausgang 1 - Fremdeinspeisung an 24V bei gesetztem Ausgang %2</t>
  </si>
  <si>
    <t>Name: %1 , Typ %3 - Ausgang 2 - Fremdeinspeisung an 0V bei gesetztem Ausgang %2</t>
  </si>
  <si>
    <t>Name: %1 , Typ %3 - Ausgang 2 - Fremdeinspeisung an 24V bei gesetztem Ausgang %2</t>
  </si>
  <si>
    <t>Antriebsregler DC-Motor</t>
  </si>
  <si>
    <t>DC Drive Franzoesisch</t>
  </si>
  <si>
    <t>DC Drive Spanisch</t>
  </si>
  <si>
    <t>DC Drive Niederlaendisch</t>
  </si>
  <si>
    <t>Drive DC-Motor</t>
  </si>
  <si>
    <t>Name: %1 , Typ %3 - Axis 2 Abschaltgrund Code &lt;%2&gt; (Siehe Handbuch für Fehlercode Name und Beschreibung)</t>
  </si>
  <si>
    <t>Name: %1 , type %3 - Axis 2 shutdown reason code &lt;%2&gt; (See manual for error code name and description)</t>
  </si>
  <si>
    <r>
      <t xml:space="preserve">%3: </t>
    </r>
    <r>
      <rPr>
        <sz val="10"/>
        <rFont val="宋体"/>
        <family val="3"/>
        <charset val="134"/>
      </rPr>
      <t>输入匹配错误</t>
    </r>
    <r>
      <rPr>
        <sz val="10"/>
        <rFont val="Arial"/>
        <family val="2"/>
      </rPr>
      <t>%1 %2</t>
    </r>
  </si>
  <si>
    <r>
      <t xml:space="preserve">%3: </t>
    </r>
    <r>
      <rPr>
        <sz val="10"/>
        <rFont val="宋体"/>
        <family val="3"/>
        <charset val="134"/>
      </rPr>
      <t>输出匹配错误</t>
    </r>
    <r>
      <rPr>
        <sz val="10"/>
        <rFont val="Arial"/>
        <family val="2"/>
      </rPr>
      <t>%1 %2</t>
    </r>
  </si>
  <si>
    <r>
      <t xml:space="preserve">%3: </t>
    </r>
    <r>
      <rPr>
        <sz val="10"/>
        <rFont val="宋体"/>
        <family val="3"/>
        <charset val="134"/>
      </rPr>
      <t>安全程序未下载</t>
    </r>
    <r>
      <rPr>
        <sz val="10"/>
        <rFont val="Arial"/>
        <family val="2"/>
      </rPr>
      <t xml:space="preserve"> (CRC=0) %1 %2</t>
    </r>
  </si>
  <si>
    <r>
      <t>%3:</t>
    </r>
    <r>
      <rPr>
        <sz val="10"/>
        <rFont val="宋体"/>
        <family val="3"/>
        <charset val="134"/>
      </rPr>
      <t>循环计数器超时</t>
    </r>
    <r>
      <rPr>
        <sz val="10"/>
        <rFont val="Arial"/>
        <family val="2"/>
      </rPr>
      <t xml:space="preserve"> %1 %2</t>
    </r>
  </si>
  <si>
    <r>
      <t xml:space="preserve">%3: </t>
    </r>
    <r>
      <rPr>
        <sz val="10"/>
        <rFont val="宋体"/>
        <family val="3"/>
        <charset val="134"/>
      </rPr>
      <t>无效的逻辑状态</t>
    </r>
    <r>
      <rPr>
        <sz val="10"/>
        <rFont val="Arial"/>
        <family val="2"/>
      </rPr>
      <t xml:space="preserve"> %1 %2</t>
    </r>
  </si>
  <si>
    <r>
      <t xml:space="preserve">Name: %1 , type %3 - </t>
    </r>
    <r>
      <rPr>
        <sz val="10"/>
        <rFont val="宋体"/>
        <family val="3"/>
        <charset val="134"/>
      </rPr>
      <t>无效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未知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命令</t>
    </r>
    <r>
      <rPr>
        <sz val="10"/>
        <rFont val="Arial"/>
        <family val="2"/>
      </rPr>
      <t xml:space="preserve"> %2</t>
    </r>
  </si>
  <si>
    <r>
      <t xml:space="preserve">Name: %1 , type %3 - </t>
    </r>
    <r>
      <rPr>
        <sz val="10"/>
        <rFont val="宋体"/>
        <family val="3"/>
        <charset val="134"/>
      </rPr>
      <t>无效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连接</t>
    </r>
    <r>
      <rPr>
        <sz val="10"/>
        <rFont val="Arial"/>
        <family val="2"/>
      </rPr>
      <t xml:space="preserve"> ID %2</t>
    </r>
  </si>
  <si>
    <r>
      <t xml:space="preserve">Name: %1 , type %3 - </t>
    </r>
    <r>
      <rPr>
        <sz val="10"/>
        <rFont val="宋体"/>
        <family val="3"/>
        <charset val="134"/>
      </rPr>
      <t>无效</t>
    </r>
    <r>
      <rPr>
        <sz val="10"/>
        <rFont val="Arial"/>
        <family val="2"/>
      </rPr>
      <t xml:space="preserve"> CRC %2 </t>
    </r>
  </si>
  <si>
    <r>
      <t xml:space="preserve">Name: %1 , type %3 - </t>
    </r>
    <r>
      <rPr>
        <sz val="10"/>
        <rFont val="宋体"/>
        <family val="3"/>
        <charset val="134"/>
      </rPr>
      <t>监视器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触发</t>
    </r>
    <r>
      <rPr>
        <sz val="10"/>
        <rFont val="Arial"/>
        <family val="2"/>
      </rPr>
      <t xml:space="preserve"> %2</t>
    </r>
  </si>
  <si>
    <r>
      <t xml:space="preserve">Name: %1 , type %3 - </t>
    </r>
    <r>
      <rPr>
        <sz val="10"/>
        <rFont val="宋体"/>
        <family val="3"/>
        <charset val="134"/>
      </rPr>
      <t>无效</t>
    </r>
    <r>
      <rPr>
        <sz val="10"/>
        <rFont val="Arial"/>
        <family val="2"/>
      </rPr>
      <t xml:space="preserve"> FSoE </t>
    </r>
    <r>
      <rPr>
        <sz val="10"/>
        <rFont val="宋体"/>
        <family val="3"/>
        <charset val="134"/>
      </rPr>
      <t>模块</t>
    </r>
    <r>
      <rPr>
        <sz val="10"/>
        <rFont val="Arial"/>
        <family val="2"/>
      </rPr>
      <t xml:space="preserve"> adr. %2</t>
    </r>
  </si>
  <si>
    <r>
      <t xml:space="preserve">Name: %1 , type %3 - </t>
    </r>
    <r>
      <rPr>
        <sz val="10"/>
        <rFont val="宋体"/>
        <family val="3"/>
        <charset val="134"/>
      </rPr>
      <t>无效数据</t>
    </r>
    <r>
      <rPr>
        <sz val="10"/>
        <rFont val="Arial"/>
        <family val="2"/>
      </rPr>
      <t xml:space="preserve"> %2 </t>
    </r>
  </si>
  <si>
    <r>
      <t xml:space="preserve">Name: %1 , type %3 - </t>
    </r>
    <r>
      <rPr>
        <sz val="10"/>
        <rFont val="宋体"/>
        <family val="3"/>
        <charset val="134"/>
      </rPr>
      <t>通讯参数长度无效</t>
    </r>
    <r>
      <rPr>
        <sz val="10"/>
        <rFont val="Arial"/>
        <family val="2"/>
      </rPr>
      <t xml:space="preserve"> %2</t>
    </r>
  </si>
  <si>
    <r>
      <t xml:space="preserve">Name: %1 , type %3 - </t>
    </r>
    <r>
      <rPr>
        <sz val="10"/>
        <rFont val="宋体"/>
        <family val="3"/>
        <charset val="134"/>
      </rPr>
      <t>通讯参数无效</t>
    </r>
    <r>
      <rPr>
        <sz val="10"/>
        <rFont val="Arial"/>
        <family val="2"/>
      </rPr>
      <t xml:space="preserve"> %2</t>
    </r>
  </si>
  <si>
    <r>
      <t>Name: %1 , type %3 -</t>
    </r>
    <r>
      <rPr>
        <sz val="10"/>
        <rFont val="宋体"/>
        <family val="3"/>
        <charset val="134"/>
      </rPr>
      <t>无效的用户通信参数长度</t>
    </r>
    <r>
      <rPr>
        <sz val="10"/>
        <rFont val="Arial"/>
        <family val="2"/>
      </rPr>
      <t xml:space="preserve"> %2</t>
    </r>
  </si>
  <si>
    <r>
      <t xml:space="preserve">Name: %1 , type %3 - </t>
    </r>
    <r>
      <rPr>
        <sz val="10"/>
        <rFont val="宋体"/>
        <family val="3"/>
        <charset val="134"/>
      </rPr>
      <t>无效用户通讯参数</t>
    </r>
    <r>
      <rPr>
        <sz val="10"/>
        <rFont val="Arial"/>
        <family val="2"/>
      </rPr>
      <t xml:space="preserve"> %2</t>
    </r>
  </si>
  <si>
    <r>
      <t xml:space="preserve">Name: %1 , type %3 - FSoE </t>
    </r>
    <r>
      <rPr>
        <sz val="10"/>
        <rFont val="宋体"/>
        <family val="3"/>
        <charset val="134"/>
      </rPr>
      <t>主站复位</t>
    </r>
    <r>
      <rPr>
        <sz val="10"/>
        <rFont val="Arial"/>
        <family val="2"/>
      </rPr>
      <t xml:space="preserve"> %2 </t>
    </r>
  </si>
  <si>
    <r>
      <t xml:space="preserve">Name: %1 , type %3 - </t>
    </r>
    <r>
      <rPr>
        <sz val="10"/>
        <rFont val="宋体"/>
        <family val="3"/>
        <charset val="134"/>
      </rPr>
      <t>从站模块错误</t>
    </r>
    <r>
      <rPr>
        <sz val="10"/>
        <rFont val="Arial"/>
        <family val="2"/>
      </rPr>
      <t xml:space="preserve">, </t>
    </r>
    <r>
      <rPr>
        <sz val="10"/>
        <rFont val="宋体"/>
        <family val="3"/>
        <charset val="134"/>
      </rPr>
      <t>选项</t>
    </r>
    <r>
      <rPr>
        <sz val="10"/>
        <rFont val="Arial"/>
        <family val="2"/>
      </rPr>
      <t xml:space="preserve"> "</t>
    </r>
    <r>
      <rPr>
        <sz val="10"/>
        <rFont val="宋体"/>
        <family val="3"/>
        <charset val="134"/>
      </rPr>
      <t>模块错误是</t>
    </r>
    <r>
      <rPr>
        <sz val="10"/>
        <rFont val="Arial"/>
        <family val="2"/>
      </rPr>
      <t xml:space="preserve"> ComError" </t>
    </r>
    <r>
      <rPr>
        <sz val="10"/>
        <rFont val="宋体"/>
        <family val="3"/>
        <charset val="134"/>
      </rPr>
      <t>激活</t>
    </r>
    <r>
      <rPr>
        <sz val="10"/>
        <rFont val="Arial"/>
        <family val="2"/>
      </rPr>
      <t xml:space="preserve"> %2 </t>
    </r>
  </si>
  <si>
    <r>
      <t>Name: %1 , type %3 -  EL290x</t>
    </r>
    <r>
      <rPr>
        <sz val="10"/>
        <rFont val="宋体"/>
        <family val="3"/>
        <charset val="134"/>
      </rPr>
      <t>错误</t>
    </r>
    <r>
      <rPr>
        <sz val="10"/>
        <rFont val="Arial"/>
        <family val="2"/>
      </rPr>
      <t xml:space="preserve">, </t>
    </r>
    <r>
      <rPr>
        <sz val="10"/>
        <rFont val="宋体"/>
        <family val="3"/>
        <charset val="134"/>
      </rPr>
      <t>选项</t>
    </r>
    <r>
      <rPr>
        <sz val="10"/>
        <rFont val="Arial"/>
        <family val="2"/>
      </rPr>
      <t xml:space="preserve"> "</t>
    </r>
    <r>
      <rPr>
        <sz val="10"/>
        <rFont val="宋体"/>
        <family val="3"/>
        <charset val="134"/>
      </rPr>
      <t>错误确认是激活</t>
    </r>
    <r>
      <rPr>
        <sz val="10"/>
        <rFont val="Arial"/>
        <family val="2"/>
      </rPr>
      <t xml:space="preserve">"  %2 </t>
    </r>
  </si>
  <si>
    <r>
      <t xml:space="preserve">Name: %1 , type %3 - </t>
    </r>
    <r>
      <rPr>
        <sz val="10"/>
        <rFont val="宋体"/>
        <family val="3"/>
        <charset val="134"/>
      </rPr>
      <t>从站不能启用</t>
    </r>
    <r>
      <rPr>
        <sz val="10"/>
        <rFont val="Arial"/>
        <family val="2"/>
      </rPr>
      <t xml:space="preserve">, </t>
    </r>
    <r>
      <rPr>
        <sz val="10"/>
        <rFont val="宋体"/>
        <family val="3"/>
        <charset val="134"/>
      </rPr>
      <t>或者异常错误</t>
    </r>
    <r>
      <rPr>
        <sz val="10"/>
        <rFont val="Arial"/>
        <family val="2"/>
      </rPr>
      <t xml:space="preserve">%2 </t>
    </r>
  </si>
  <si>
    <r>
      <t xml:space="preserve">Name: %1 , type %3 - FSoE </t>
    </r>
    <r>
      <rPr>
        <sz val="10"/>
        <rFont val="宋体"/>
        <family val="3"/>
        <charset val="134"/>
      </rPr>
      <t>从站错误检测</t>
    </r>
    <r>
      <rPr>
        <sz val="10"/>
        <rFont val="Arial"/>
        <family val="2"/>
      </rPr>
      <t xml:space="preserve"> %2 </t>
    </r>
  </si>
  <si>
    <r>
      <t xml:space="preserve">Name: %1 , type %3 - FSoE </t>
    </r>
    <r>
      <rPr>
        <sz val="10"/>
        <rFont val="宋体"/>
        <family val="3"/>
        <charset val="134"/>
      </rPr>
      <t>从站报告无效安全激活</t>
    </r>
    <r>
      <rPr>
        <sz val="10"/>
        <rFont val="Arial"/>
        <family val="2"/>
      </rPr>
      <t xml:space="preserve">%2 </t>
    </r>
  </si>
  <si>
    <r>
      <t xml:space="preserve">Name: %1 , type %3 - FB </t>
    </r>
    <r>
      <rPr>
        <sz val="10"/>
        <rFont val="宋体"/>
        <family val="3"/>
        <charset val="134"/>
      </rPr>
      <t>从驱动读取诊断数据</t>
    </r>
    <r>
      <rPr>
        <sz val="10"/>
        <rFont val="Arial"/>
        <family val="2"/>
      </rPr>
      <t xml:space="preserve"> %2</t>
    </r>
  </si>
  <si>
    <r>
      <t>Name: %1 , type %3 -</t>
    </r>
    <r>
      <rPr>
        <sz val="10"/>
        <rFont val="宋体"/>
        <family val="3"/>
        <charset val="134"/>
      </rPr>
      <t>错误</t>
    </r>
    <r>
      <rPr>
        <sz val="10"/>
        <rFont val="Arial"/>
        <family val="2"/>
      </rPr>
      <t xml:space="preserve"> TextID &lt;%2&gt; </t>
    </r>
    <r>
      <rPr>
        <sz val="10"/>
        <rFont val="宋体"/>
        <family val="3"/>
        <charset val="134"/>
      </rPr>
      <t>来自诊断历史</t>
    </r>
    <r>
      <rPr>
        <sz val="10"/>
        <rFont val="Arial"/>
        <family val="2"/>
      </rPr>
      <t xml:space="preserve"> (</t>
    </r>
    <r>
      <rPr>
        <sz val="10"/>
        <rFont val="宋体"/>
        <family val="3"/>
        <charset val="134"/>
      </rPr>
      <t>参考手册</t>
    </r>
    <r>
      <rPr>
        <sz val="10"/>
        <rFont val="Arial"/>
        <family val="2"/>
      </rPr>
      <t xml:space="preserve">/EtherCAT ESI </t>
    </r>
    <r>
      <rPr>
        <sz val="10"/>
        <rFont val="宋体"/>
        <family val="3"/>
        <charset val="134"/>
      </rPr>
      <t>文件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文本描述</t>
    </r>
    <r>
      <rPr>
        <sz val="10"/>
        <rFont val="Arial"/>
        <family val="2"/>
      </rPr>
      <t xml:space="preserve">) </t>
    </r>
  </si>
  <si>
    <r>
      <t xml:space="preserve">Name: %1 , type %3 - </t>
    </r>
    <r>
      <rPr>
        <sz val="10"/>
        <rFont val="宋体"/>
        <family val="3"/>
        <charset val="134"/>
      </rPr>
      <t>轴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停机原因代码</t>
    </r>
    <r>
      <rPr>
        <sz val="10"/>
        <rFont val="Arial"/>
        <family val="2"/>
      </rPr>
      <t xml:space="preserve"> &lt;%2&gt; (</t>
    </r>
    <r>
      <rPr>
        <sz val="10"/>
        <rFont val="宋体"/>
        <family val="3"/>
        <charset val="134"/>
      </rPr>
      <t>参考手册错误代码和描述</t>
    </r>
    <r>
      <rPr>
        <sz val="10"/>
        <rFont val="Arial"/>
        <family val="2"/>
      </rPr>
      <t>)</t>
    </r>
  </si>
  <si>
    <r>
      <t xml:space="preserve">Name: %1 , type %3 - </t>
    </r>
    <r>
      <rPr>
        <sz val="10"/>
        <rFont val="宋体"/>
        <family val="3"/>
        <charset val="134"/>
      </rPr>
      <t>轴2停机原因代码</t>
    </r>
    <r>
      <rPr>
        <sz val="10"/>
        <rFont val="Arial"/>
        <family val="2"/>
      </rPr>
      <t xml:space="preserve"> &lt;%2&gt; (</t>
    </r>
    <r>
      <rPr>
        <sz val="10"/>
        <rFont val="宋体"/>
        <family val="3"/>
        <charset val="134"/>
      </rPr>
      <t>参考手册错误代码和描述</t>
    </r>
    <r>
      <rPr>
        <sz val="10"/>
        <rFont val="Arial"/>
        <family val="2"/>
      </rPr>
      <t>)</t>
    </r>
  </si>
  <si>
    <r>
      <t xml:space="preserve">Name: %1 , type %3 - </t>
    </r>
    <r>
      <rPr>
        <sz val="10"/>
        <rFont val="宋体"/>
        <family val="3"/>
        <charset val="134"/>
      </rPr>
      <t>传感器输入错误</t>
    </r>
    <r>
      <rPr>
        <sz val="10"/>
        <rFont val="Arial"/>
        <family val="2"/>
      </rPr>
      <t xml:space="preserve">no. %2 (e.g. </t>
    </r>
    <r>
      <rPr>
        <sz val="10"/>
        <rFont val="宋体"/>
        <family val="3"/>
        <charset val="134"/>
      </rPr>
      <t>外部提供</t>
    </r>
    <r>
      <rPr>
        <sz val="10"/>
        <rFont val="Arial"/>
        <family val="2"/>
      </rPr>
      <t>)</t>
    </r>
  </si>
  <si>
    <r>
      <t xml:space="preserve">Name: %1 , type %3 - </t>
    </r>
    <r>
      <rPr>
        <sz val="10"/>
        <rFont val="宋体"/>
        <family val="3"/>
        <charset val="134"/>
      </rPr>
      <t>输入双通道评估错误</t>
    </r>
    <r>
      <rPr>
        <sz val="10"/>
        <rFont val="Arial"/>
        <family val="2"/>
      </rPr>
      <t xml:space="preserve">. %2  (i.e. </t>
    </r>
    <r>
      <rPr>
        <sz val="10"/>
        <rFont val="宋体"/>
        <family val="3"/>
        <charset val="134"/>
      </rPr>
      <t>两通道冲突</t>
    </r>
    <r>
      <rPr>
        <sz val="10"/>
        <rFont val="Arial"/>
        <family val="2"/>
      </rPr>
      <t>)</t>
    </r>
  </si>
  <si>
    <r>
      <t xml:space="preserve">Name: %1 , type %3 - </t>
    </r>
    <r>
      <rPr>
        <sz val="10"/>
        <rFont val="宋体"/>
        <family val="3"/>
        <charset val="134"/>
      </rPr>
      <t>安全操作模式错误</t>
    </r>
    <r>
      <rPr>
        <sz val="10"/>
        <rFont val="Arial"/>
        <family val="2"/>
      </rPr>
      <t xml:space="preserve">: </t>
    </r>
    <r>
      <rPr>
        <sz val="10"/>
        <rFont val="宋体"/>
        <family val="3"/>
        <charset val="134"/>
      </rPr>
      <t>输入对不一致</t>
    </r>
    <r>
      <rPr>
        <sz val="10"/>
        <rFont val="Arial"/>
        <family val="2"/>
      </rPr>
      <t xml:space="preserve"> %2</t>
    </r>
  </si>
  <si>
    <r>
      <t xml:space="preserve">Name: %1 , type %3 - </t>
    </r>
    <r>
      <rPr>
        <sz val="10"/>
        <rFont val="宋体"/>
        <family val="3"/>
        <charset val="134"/>
      </rPr>
      <t>安全操作模式测试脉冲报错</t>
    </r>
    <r>
      <rPr>
        <sz val="10"/>
        <rFont val="Arial"/>
        <family val="2"/>
      </rPr>
      <t>. %2 (i.e. external supply dected)</t>
    </r>
  </si>
  <si>
    <r>
      <t xml:space="preserve">Name: %1 , type %3 - </t>
    </r>
    <r>
      <rPr>
        <sz val="10"/>
        <rFont val="宋体"/>
        <family val="3"/>
        <charset val="134"/>
      </rPr>
      <t>速度监视错误</t>
    </r>
    <r>
      <rPr>
        <sz val="10"/>
        <rFont val="Arial"/>
        <family val="2"/>
      </rPr>
      <t>,</t>
    </r>
    <r>
      <rPr>
        <sz val="10"/>
        <rFont val="宋体"/>
        <family val="3"/>
        <charset val="134"/>
      </rPr>
      <t>在输入处检测到超速</t>
    </r>
    <r>
      <rPr>
        <sz val="10"/>
        <rFont val="Arial"/>
        <family val="2"/>
      </rPr>
      <t xml:space="preserve"> . %2</t>
    </r>
  </si>
  <si>
    <r>
      <t xml:space="preserve">Name: %1 , type %3 - </t>
    </r>
    <r>
      <rPr>
        <sz val="10"/>
        <rFont val="宋体"/>
        <family val="3"/>
        <charset val="134"/>
      </rPr>
      <t>在</t>
    </r>
    <r>
      <rPr>
        <sz val="10"/>
        <rFont val="Arial"/>
        <family val="2"/>
      </rPr>
      <t>“</t>
    </r>
    <r>
      <rPr>
        <sz val="10"/>
        <rFont val="宋体"/>
        <family val="3"/>
        <charset val="134"/>
      </rPr>
      <t>双通道同步速度控制</t>
    </r>
    <r>
      <rPr>
        <sz val="10"/>
        <rFont val="Arial"/>
        <family val="2"/>
      </rPr>
      <t>”</t>
    </r>
    <r>
      <rPr>
        <sz val="10"/>
        <rFont val="宋体"/>
        <family val="3"/>
        <charset val="134"/>
      </rPr>
      <t>模式下出现错误</t>
    </r>
    <r>
      <rPr>
        <sz val="10"/>
        <rFont val="Arial"/>
        <family val="2"/>
      </rPr>
      <t>.</t>
    </r>
    <r>
      <rPr>
        <sz val="10"/>
        <rFont val="宋体"/>
        <family val="3"/>
        <charset val="134"/>
      </rPr>
      <t>在输入对</t>
    </r>
    <r>
      <rPr>
        <sz val="10"/>
        <rFont val="Arial"/>
        <family val="2"/>
      </rPr>
      <t>%2(</t>
    </r>
    <r>
      <rPr>
        <sz val="10"/>
        <rFont val="宋体"/>
        <family val="3"/>
        <charset val="134"/>
      </rPr>
      <t>一个输入对的两个输入都以非活动状态读取</t>
    </r>
    <r>
      <rPr>
        <sz val="10"/>
        <rFont val="Arial"/>
        <family val="2"/>
      </rPr>
      <t>)</t>
    </r>
  </si>
  <si>
    <r>
      <t xml:space="preserve">Name: %1 , type %3 - </t>
    </r>
    <r>
      <rPr>
        <sz val="10"/>
        <rFont val="宋体"/>
        <family val="3"/>
        <charset val="134"/>
      </rPr>
      <t>在</t>
    </r>
    <r>
      <rPr>
        <sz val="10"/>
        <rFont val="Arial"/>
        <family val="2"/>
      </rPr>
      <t>“</t>
    </r>
    <r>
      <rPr>
        <sz val="10"/>
        <rFont val="宋体"/>
        <family val="3"/>
        <charset val="134"/>
      </rPr>
      <t>双通道同步速度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编码器速度控制</t>
    </r>
    <r>
      <rPr>
        <sz val="10"/>
        <rFont val="Arial"/>
        <family val="2"/>
      </rPr>
      <t>”</t>
    </r>
    <r>
      <rPr>
        <sz val="10"/>
        <rFont val="宋体"/>
        <family val="3"/>
        <charset val="134"/>
      </rPr>
      <t>在输入对</t>
    </r>
    <r>
      <rPr>
        <sz val="10"/>
        <rFont val="Arial"/>
        <family val="2"/>
      </rPr>
      <t>%2</t>
    </r>
    <r>
      <rPr>
        <sz val="10"/>
        <rFont val="宋体"/>
        <family val="3"/>
        <charset val="134"/>
      </rPr>
      <t>模式中出现错误</t>
    </r>
  </si>
  <si>
    <r>
      <t xml:space="preserve">Name: %1 , type %3 - </t>
    </r>
    <r>
      <rPr>
        <sz val="10"/>
        <rFont val="宋体"/>
        <family val="3"/>
        <charset val="134"/>
      </rPr>
      <t>备用</t>
    </r>
    <r>
      <rPr>
        <sz val="10"/>
        <rFont val="Arial"/>
        <family val="2"/>
      </rPr>
      <t xml:space="preserve"> %2</t>
    </r>
  </si>
  <si>
    <r>
      <t xml:space="preserve">Name: %1 , type %3 - </t>
    </r>
    <r>
      <rPr>
        <sz val="10"/>
        <rFont val="宋体"/>
        <family val="3"/>
        <charset val="134"/>
      </rPr>
      <t>外接电源或短路输出</t>
    </r>
    <r>
      <rPr>
        <sz val="10"/>
        <rFont val="Arial"/>
        <family val="2"/>
      </rPr>
      <t>Nr. %2</t>
    </r>
  </si>
  <si>
    <r>
      <t xml:space="preserve">Name: %1 , type %3 - </t>
    </r>
    <r>
      <rPr>
        <sz val="10"/>
        <rFont val="宋体"/>
        <family val="3"/>
        <charset val="134"/>
      </rPr>
      <t>输出开路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最小-最大电流</t>
    </r>
    <r>
      <rPr>
        <sz val="10"/>
        <rFont val="Arial"/>
        <family val="2"/>
      </rPr>
      <t xml:space="preserve">  Nr. %2</t>
    </r>
  </si>
  <si>
    <r>
      <t xml:space="preserve">Name: %1 , type %3 - </t>
    </r>
    <r>
      <rPr>
        <sz val="10"/>
        <rFont val="宋体"/>
        <family val="3"/>
        <charset val="134"/>
      </rPr>
      <t>励磁电压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电源触点</t>
    </r>
    <r>
      <rPr>
        <sz val="10"/>
        <rFont val="Arial"/>
        <family val="2"/>
      </rPr>
      <t>)</t>
    </r>
    <r>
      <rPr>
        <sz val="10"/>
        <rFont val="宋体"/>
        <family val="3"/>
        <charset val="134"/>
      </rPr>
      <t>过高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过低</t>
    </r>
    <r>
      <rPr>
        <sz val="10"/>
        <rFont val="Arial"/>
        <family val="2"/>
      </rPr>
      <t xml:space="preserve"> %2</t>
    </r>
  </si>
  <si>
    <r>
      <t xml:space="preserve">Name: %1 , type %3 - </t>
    </r>
    <r>
      <rPr>
        <sz val="10"/>
        <rFont val="宋体"/>
        <family val="3"/>
        <charset val="134"/>
      </rPr>
      <t>温度过高</t>
    </r>
    <r>
      <rPr>
        <sz val="10"/>
        <rFont val="Arial"/>
        <family val="2"/>
      </rPr>
      <t xml:space="preserve"> %2</t>
    </r>
  </si>
  <si>
    <r>
      <t xml:space="preserve">Name: %1 , type %3 - </t>
    </r>
    <r>
      <rPr>
        <sz val="10"/>
        <rFont val="宋体"/>
        <family val="3"/>
        <charset val="134"/>
      </rPr>
      <t>温度过低</t>
    </r>
    <r>
      <rPr>
        <sz val="10"/>
        <rFont val="Arial"/>
        <family val="2"/>
      </rPr>
      <t xml:space="preserve"> %2</t>
    </r>
  </si>
  <si>
    <r>
      <t>Name: %1 , type %3 - PCB</t>
    </r>
    <r>
      <rPr>
        <sz val="10"/>
        <rFont val="宋体"/>
        <family val="3"/>
        <charset val="134"/>
      </rPr>
      <t>温差</t>
    </r>
    <r>
      <rPr>
        <sz val="10"/>
        <rFont val="Arial"/>
        <family val="2"/>
      </rPr>
      <t xml:space="preserve"> %2</t>
    </r>
  </si>
  <si>
    <r>
      <t xml:space="preserve">Name: %1 , type %3 - </t>
    </r>
    <r>
      <rPr>
        <sz val="10"/>
        <rFont val="宋体"/>
        <family val="3"/>
        <charset val="134"/>
      </rPr>
      <t>交叉-电路输出1和输出</t>
    </r>
    <r>
      <rPr>
        <sz val="10"/>
        <rFont val="Arial"/>
        <family val="2"/>
      </rPr>
      <t xml:space="preserve"> 2 %2</t>
    </r>
  </si>
  <si>
    <r>
      <t xml:space="preserve">Name: %1 , type %3 - </t>
    </r>
    <r>
      <rPr>
        <sz val="10"/>
        <rFont val="宋体"/>
        <family val="3"/>
        <charset val="134"/>
      </rPr>
      <t>交叉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电路输出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和输出</t>
    </r>
    <r>
      <rPr>
        <sz val="10"/>
        <rFont val="Arial"/>
        <family val="2"/>
      </rPr>
      <t xml:space="preserve"> 2 %2</t>
    </r>
  </si>
  <si>
    <r>
      <t xml:space="preserve">Name: %1 , type %3 - </t>
    </r>
    <r>
      <rPr>
        <sz val="10"/>
        <rFont val="宋体"/>
        <family val="3"/>
        <charset val="134"/>
      </rPr>
      <t>过电压</t>
    </r>
    <r>
      <rPr>
        <sz val="10"/>
        <rFont val="Arial"/>
        <family val="2"/>
      </rPr>
      <t xml:space="preserve">  %2</t>
    </r>
  </si>
  <si>
    <r>
      <t xml:space="preserve">Name: %1 , type %3 - </t>
    </r>
    <r>
      <rPr>
        <sz val="10"/>
        <rFont val="宋体"/>
        <family val="3"/>
        <charset val="134"/>
      </rPr>
      <t>低电压</t>
    </r>
    <r>
      <rPr>
        <sz val="10"/>
        <rFont val="Arial"/>
        <family val="2"/>
      </rPr>
      <t xml:space="preserve"> %2</t>
    </r>
  </si>
  <si>
    <r>
      <t xml:space="preserve">Name: %1 , type %3 - </t>
    </r>
    <r>
      <rPr>
        <sz val="10"/>
        <rFont val="宋体"/>
        <family val="3"/>
        <charset val="134"/>
      </rPr>
      <t>报错测试磁场电压开关时</t>
    </r>
    <r>
      <rPr>
        <sz val="10"/>
        <rFont val="Arial"/>
        <family val="2"/>
      </rPr>
      <t xml:space="preserve"> %2</t>
    </r>
  </si>
  <si>
    <r>
      <t xml:space="preserve">Name: %1 , type %3 - </t>
    </r>
    <r>
      <rPr>
        <sz val="10"/>
        <rFont val="宋体"/>
        <family val="3"/>
        <charset val="134"/>
      </rPr>
      <t>输出电路启动失败</t>
    </r>
    <r>
      <rPr>
        <sz val="10"/>
        <rFont val="Arial"/>
        <family val="2"/>
      </rPr>
      <t xml:space="preserve"> %2</t>
    </r>
  </si>
  <si>
    <r>
      <t xml:space="preserve">Name: %1 , type %3 - </t>
    </r>
    <r>
      <rPr>
        <sz val="10"/>
        <rFont val="宋体"/>
        <family val="3"/>
        <charset val="134"/>
      </rPr>
      <t>外部电源</t>
    </r>
    <r>
      <rPr>
        <sz val="10"/>
        <rFont val="Arial"/>
        <family val="2"/>
      </rPr>
      <t>0V</t>
    </r>
    <r>
      <rPr>
        <sz val="10"/>
        <rFont val="宋体"/>
        <family val="3"/>
        <charset val="134"/>
      </rPr>
      <t>输出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，检测与设置的输出</t>
    </r>
    <r>
      <rPr>
        <sz val="10"/>
        <rFont val="Arial"/>
        <family val="2"/>
      </rPr>
      <t xml:space="preserve"> %2</t>
    </r>
  </si>
  <si>
    <r>
      <t xml:space="preserve">Name: %1 , type %3 - </t>
    </r>
    <r>
      <rPr>
        <sz val="10"/>
        <rFont val="宋体"/>
        <family val="3"/>
        <charset val="134"/>
      </rPr>
      <t>检测到外部电源</t>
    </r>
    <r>
      <rPr>
        <sz val="10"/>
        <rFont val="Arial"/>
        <family val="2"/>
      </rPr>
      <t>24V</t>
    </r>
    <r>
      <rPr>
        <sz val="10"/>
        <rFont val="宋体"/>
        <family val="3"/>
        <charset val="134"/>
      </rPr>
      <t>输出</t>
    </r>
    <r>
      <rPr>
        <sz val="10"/>
        <rFont val="Arial"/>
        <family val="2"/>
      </rPr>
      <t>1 %2</t>
    </r>
  </si>
  <si>
    <r>
      <t xml:space="preserve">Name: %1 , type %3 - </t>
    </r>
    <r>
      <rPr>
        <sz val="10"/>
        <rFont val="宋体"/>
        <family val="3"/>
        <charset val="134"/>
      </rPr>
      <t>外部电源</t>
    </r>
    <r>
      <rPr>
        <sz val="10"/>
        <rFont val="Arial"/>
        <family val="2"/>
      </rPr>
      <t>0V</t>
    </r>
    <r>
      <rPr>
        <sz val="10"/>
        <rFont val="宋体"/>
        <family val="3"/>
        <charset val="134"/>
      </rPr>
      <t>在输出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检测到与设置的输出</t>
    </r>
    <r>
      <rPr>
        <sz val="10"/>
        <rFont val="Arial"/>
        <family val="2"/>
      </rPr>
      <t>%2</t>
    </r>
  </si>
  <si>
    <r>
      <t>Name: %1 , type %3 -</t>
    </r>
    <r>
      <rPr>
        <sz val="10"/>
        <rFont val="宋体"/>
        <family val="3"/>
        <charset val="134"/>
      </rPr>
      <t>在输出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上检测到外部电源</t>
    </r>
    <r>
      <rPr>
        <sz val="10"/>
        <rFont val="Arial"/>
        <family val="2"/>
      </rPr>
      <t>24V%2</t>
    </r>
  </si>
  <si>
    <r>
      <t xml:space="preserve">%1 : </t>
    </r>
    <r>
      <rPr>
        <sz val="10"/>
        <rFont val="宋体"/>
        <family val="3"/>
        <charset val="134"/>
      </rPr>
      <t>主站状态</t>
    </r>
    <r>
      <rPr>
        <sz val="10"/>
        <rFont val="Arial"/>
        <family val="2"/>
      </rPr>
      <t>: %3 %2</t>
    </r>
  </si>
  <si>
    <r>
      <t xml:space="preserve">%1 : </t>
    </r>
    <r>
      <rPr>
        <sz val="10"/>
        <rFont val="宋体"/>
        <family val="3"/>
        <charset val="134"/>
      </rPr>
      <t>连接错误在端口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和</t>
    </r>
    <r>
      <rPr>
        <sz val="10"/>
        <rFont val="Arial"/>
        <family val="2"/>
      </rPr>
      <t>B</t>
    </r>
    <r>
      <rPr>
        <sz val="10"/>
        <rFont val="Arial"/>
        <family val="2"/>
      </rPr>
      <t xml:space="preserve">, </t>
    </r>
    <r>
      <rPr>
        <sz val="10"/>
        <rFont val="宋体"/>
        <family val="3"/>
        <charset val="134"/>
      </rPr>
      <t>从站丢失</t>
    </r>
    <r>
      <rPr>
        <sz val="10"/>
        <rFont val="Arial"/>
        <family val="2"/>
      </rPr>
      <t xml:space="preserve"> %2 - </t>
    </r>
    <r>
      <rPr>
        <sz val="10"/>
        <rFont val="宋体"/>
        <family val="3"/>
        <charset val="134"/>
      </rPr>
      <t>第一个丢失的从站</t>
    </r>
    <r>
      <rPr>
        <sz val="10"/>
        <rFont val="Arial"/>
        <family val="2"/>
      </rPr>
      <t xml:space="preserve"> %3</t>
    </r>
  </si>
  <si>
    <r>
      <t xml:space="preserve">%1 : </t>
    </r>
    <r>
      <rPr>
        <sz val="10"/>
        <rFont val="宋体"/>
        <family val="3"/>
        <charset val="134"/>
      </rPr>
      <t>没有从站信息</t>
    </r>
    <r>
      <rPr>
        <sz val="10"/>
        <rFont val="Arial"/>
        <family val="2"/>
      </rPr>
      <t xml:space="preserve"> - </t>
    </r>
    <r>
      <rPr>
        <sz val="10"/>
        <rFont val="宋体"/>
        <family val="3"/>
        <charset val="134"/>
      </rPr>
      <t>第一个丢失的从站</t>
    </r>
    <r>
      <rPr>
        <sz val="10"/>
        <rFont val="Arial"/>
        <family val="2"/>
      </rPr>
      <t xml:space="preserve"> %3, %2</t>
    </r>
    <r>
      <rPr>
        <sz val="10"/>
        <rFont val="宋体"/>
        <family val="3"/>
        <charset val="134"/>
      </rPr>
      <t>报错从站</t>
    </r>
  </si>
  <si>
    <r>
      <t xml:space="preserve">%1 : </t>
    </r>
    <r>
      <rPr>
        <sz val="10"/>
        <rFont val="宋体"/>
        <family val="3"/>
        <charset val="134"/>
      </rPr>
      <t>报错从站</t>
    </r>
    <r>
      <rPr>
        <sz val="10"/>
        <rFont val="Arial"/>
        <family val="2"/>
      </rPr>
      <t xml:space="preserve"> (%3) - </t>
    </r>
    <r>
      <rPr>
        <sz val="10"/>
        <rFont val="宋体"/>
        <family val="3"/>
        <charset val="134"/>
      </rPr>
      <t>状态</t>
    </r>
    <r>
      <rPr>
        <sz val="10"/>
        <rFont val="Arial"/>
        <family val="2"/>
      </rPr>
      <t xml:space="preserve"> = %2 </t>
    </r>
  </si>
  <si>
    <r>
      <t xml:space="preserve">%1 : </t>
    </r>
    <r>
      <rPr>
        <sz val="10"/>
        <rFont val="宋体"/>
        <family val="3"/>
        <charset val="134"/>
      </rPr>
      <t>报错从站数量</t>
    </r>
    <r>
      <rPr>
        <sz val="10"/>
        <rFont val="Arial"/>
        <family val="2"/>
      </rPr>
      <t xml:space="preserve"> - %2 , </t>
    </r>
    <r>
      <rPr>
        <sz val="10"/>
        <rFont val="宋体"/>
        <family val="3"/>
        <charset val="134"/>
      </rPr>
      <t>第一个报错的从站</t>
    </r>
    <r>
      <rPr>
        <sz val="10"/>
        <rFont val="Arial"/>
        <family val="2"/>
      </rPr>
      <t xml:space="preserve"> %3</t>
    </r>
  </si>
  <si>
    <r>
      <t xml:space="preserve">%1 : FrmWcState - </t>
    </r>
    <r>
      <rPr>
        <sz val="10"/>
        <rFont val="宋体"/>
        <family val="3"/>
        <charset val="134"/>
      </rPr>
      <t>接收到</t>
    </r>
    <r>
      <rPr>
        <sz val="10"/>
        <rFont val="Arial"/>
        <family val="2"/>
      </rPr>
      <t>EtherCAT</t>
    </r>
    <r>
      <rPr>
        <sz val="10"/>
        <rFont val="宋体"/>
        <family val="3"/>
        <charset val="134"/>
      </rPr>
      <t>命令的工作计数器错误</t>
    </r>
    <r>
      <rPr>
        <sz val="10"/>
        <rFont val="Arial"/>
        <family val="2"/>
      </rPr>
      <t xml:space="preserve"> %2,</t>
    </r>
    <r>
      <rPr>
        <sz val="10"/>
        <rFont val="宋体"/>
        <family val="3"/>
        <charset val="134"/>
      </rPr>
      <t>主站状态</t>
    </r>
    <r>
      <rPr>
        <sz val="10"/>
        <rFont val="Arial"/>
        <family val="2"/>
      </rPr>
      <t xml:space="preserve"> = %3 </t>
    </r>
  </si>
  <si>
    <r>
      <t>%1 :</t>
    </r>
    <r>
      <rPr>
        <sz val="10"/>
        <rFont val="宋体"/>
        <family val="3"/>
        <charset val="134"/>
      </rPr>
      <t>监视触发</t>
    </r>
    <r>
      <rPr>
        <sz val="10"/>
        <rFont val="Arial"/>
        <family val="2"/>
      </rPr>
      <t xml:space="preserve"> , </t>
    </r>
    <r>
      <rPr>
        <sz val="10"/>
        <rFont val="宋体"/>
        <family val="3"/>
        <charset val="134"/>
      </rPr>
      <t>主站状态</t>
    </r>
    <r>
      <rPr>
        <sz val="10"/>
        <rFont val="Arial"/>
        <family val="2"/>
      </rPr>
      <t xml:space="preserve"> = %3 %2</t>
    </r>
  </si>
  <si>
    <r>
      <t xml:space="preserve">%1 : </t>
    </r>
    <r>
      <rPr>
        <sz val="10"/>
        <rFont val="宋体"/>
        <family val="3"/>
        <charset val="134"/>
      </rPr>
      <t>分布时钟不同步</t>
    </r>
    <r>
      <rPr>
        <sz val="10"/>
        <rFont val="Arial"/>
        <family val="2"/>
      </rPr>
      <t xml:space="preserve">, </t>
    </r>
    <r>
      <rPr>
        <sz val="10"/>
        <rFont val="宋体"/>
        <family val="3"/>
        <charset val="134"/>
      </rPr>
      <t>主站状态</t>
    </r>
    <r>
      <rPr>
        <sz val="10"/>
        <rFont val="Arial"/>
        <family val="2"/>
      </rPr>
      <t xml:space="preserve"> = %3 %2</t>
    </r>
  </si>
  <si>
    <r>
      <t xml:space="preserve">%1 : </t>
    </r>
    <r>
      <rPr>
        <sz val="10"/>
        <rFont val="宋体"/>
        <family val="3"/>
        <charset val="134"/>
      </rPr>
      <t>发送资源</t>
    </r>
    <r>
      <rPr>
        <sz val="10"/>
        <rFont val="Arial"/>
        <family val="2"/>
      </rPr>
      <t>, Master State = %3 %2</t>
    </r>
  </si>
  <si>
    <r>
      <t>%1 :IO</t>
    </r>
    <r>
      <rPr>
        <sz val="10"/>
        <rFont val="宋体"/>
        <family val="3"/>
        <charset val="134"/>
      </rPr>
      <t>锁定后链接错误</t>
    </r>
    <r>
      <rPr>
        <sz val="10"/>
        <rFont val="Arial"/>
        <family val="2"/>
      </rPr>
      <t xml:space="preserve"> , </t>
    </r>
    <r>
      <rPr>
        <sz val="10"/>
        <rFont val="宋体"/>
        <family val="3"/>
        <charset val="134"/>
      </rPr>
      <t>主站状态</t>
    </r>
    <r>
      <rPr>
        <sz val="10"/>
        <rFont val="Arial"/>
        <family val="2"/>
      </rPr>
      <t xml:space="preserve"> = %3 %2</t>
    </r>
  </si>
  <si>
    <t>%2 - soft limit minimum reached %1 %3</t>
  </si>
  <si>
    <t>%2 - soft limit maximum reached %1 %3</t>
  </si>
  <si>
    <t>%3: Local input module fault, inputs: %1 %2</t>
  </si>
  <si>
    <t>%3: Local output module fault, outputs: %1 %2</t>
  </si>
  <si>
    <t xml:space="preserve">%1 : %3, %2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</si>
</sst>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宋体"/>
      <family val="3"/>
      <charset val="134"/>
    </font>
    <font>
      <sz val="10"/>
      <color rgb="FF212121"/>
      <name val="Arial"/>
      <family val="2"/>
    </font>
    <font>
      <sz val="10"/>
      <color rgb="FFFF0000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212121"/>
      <name val="Inherit"/>
    </font>
    <font>
      <sz val="8"/>
      <name val="Arial"/>
    </font>
    <font>
      <sz val="10"/>
      <name val="Arial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49" fontId="0" fillId="0" borderId="1" xfId="0" applyNumberFormat="1" applyBorder="1"/>
    <xf numFmtId="0" fontId="0" fillId="0" borderId="1" xfId="0" applyBorder="1" applyAlignment="1">
      <alignment horizontal="center" vertical="center"/>
    </xf>
    <xf numFmtId="0" fontId="0" fillId="0" borderId="1" xfId="0" applyBorder="1"/>
    <xf numFmtId="49" fontId="2" fillId="0" borderId="1" xfId="0" applyNumberFormat="1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49" fontId="5" fillId="0" borderId="1" xfId="0" applyNumberFormat="1" applyFont="1" applyBorder="1"/>
    <xf numFmtId="0" fontId="0" fillId="0" borderId="2" xfId="0" applyBorder="1" applyAlignment="1">
      <alignment horizontal="center"/>
    </xf>
    <xf numFmtId="49" fontId="2" fillId="0" borderId="2" xfId="0" applyNumberFormat="1" applyFont="1" applyBorder="1"/>
    <xf numFmtId="49" fontId="0" fillId="0" borderId="2" xfId="0" applyNumberFormat="1" applyBorder="1"/>
    <xf numFmtId="0" fontId="2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1" xfId="0" applyFont="1" applyBorder="1" applyAlignment="1">
      <alignment horizontal="left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49" fontId="14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IOTA/Spectre/BAG/04_Application/Settings/EventLogger/EventMessag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FINES"/>
      <sheetName val="(1) General Hint"/>
      <sheetName val="(2) General Msg"/>
      <sheetName val="(3) General Alarm"/>
      <sheetName val="(10) Station 1 General Hints"/>
      <sheetName val="(20) Station 1 General Msg"/>
      <sheetName val="(30) Station 1 General Alarm"/>
      <sheetName val="(101) Station 1 CmdCom"/>
      <sheetName val="(111) Station 1 CmdCom errors"/>
      <sheetName val="(330) Safety Ctrl"/>
      <sheetName val="(10121) Station 1 Control"/>
      <sheetName val="(10130) ST1 Motion Unit"/>
      <sheetName val="(10131) ST1 Motion Ax Unit"/>
      <sheetName val="(10141) ST1 Process"/>
      <sheetName val="(100000) Startup"/>
      <sheetName val="(100001) IPC"/>
      <sheetName val="(10030x) SafetyPlcTermDiag"/>
      <sheetName val="(1003xx) SafetyIOTermDiag"/>
      <sheetName val="(1010xx) NC Axis"/>
      <sheetName val="(1020xx) SoE Drive"/>
      <sheetName val="(1022xx) CoE Drive"/>
      <sheetName val="(1026xx) Stepper Drive"/>
      <sheetName val="(10300x) EtherCAT Master"/>
      <sheetName val="(10301x) CanOpen Master"/>
    </sheetNames>
    <sheetDataSet>
      <sheetData sheetId="0"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8">
          <cell r="A8">
            <v>6</v>
          </cell>
        </row>
        <row r="9">
          <cell r="A9">
            <v>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" connectionId="1" xr16:uid="{00000000-0016-0000-12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tabSelected="1" topLeftCell="BQ1" workbookViewId="0">
      <selection activeCell="I28" sqref="I28"/>
    </sheetView>
  </sheetViews>
  <sheetFormatPr defaultColWidth="9.1796875" defaultRowHeight="12.5"/>
  <cols>
    <col min="1" max="1" width="13.7265625" bestFit="1" customWidth="1"/>
    <col min="2" max="3" width="12.54296875" bestFit="1" customWidth="1"/>
    <col min="4" max="4" width="14.26953125" bestFit="1" customWidth="1"/>
  </cols>
  <sheetData>
    <row r="1" spans="1:4">
      <c r="A1" s="16" t="s">
        <v>329</v>
      </c>
      <c r="B1" s="16" t="s">
        <v>330</v>
      </c>
      <c r="C1" s="16" t="s">
        <v>331</v>
      </c>
      <c r="D1" s="16" t="s">
        <v>332</v>
      </c>
    </row>
    <row r="2" spans="1:4">
      <c r="A2" s="7">
        <v>0</v>
      </c>
      <c r="B2" s="5">
        <v>3</v>
      </c>
      <c r="C2" s="5">
        <v>0</v>
      </c>
      <c r="D2" s="7" t="s">
        <v>333</v>
      </c>
    </row>
    <row r="3" spans="1:4">
      <c r="A3" s="7">
        <v>1</v>
      </c>
      <c r="B3" s="5">
        <v>2</v>
      </c>
      <c r="C3" s="5">
        <v>1</v>
      </c>
      <c r="D3" s="7" t="s">
        <v>334</v>
      </c>
    </row>
    <row r="4" spans="1:4">
      <c r="A4" s="7">
        <v>2</v>
      </c>
      <c r="B4" s="5">
        <v>3</v>
      </c>
      <c r="C4" s="5">
        <v>0</v>
      </c>
      <c r="D4" s="7" t="s">
        <v>335</v>
      </c>
    </row>
    <row r="5" spans="1:4">
      <c r="A5" s="7">
        <v>3</v>
      </c>
      <c r="B5" s="5">
        <v>3</v>
      </c>
      <c r="C5" s="5">
        <v>0</v>
      </c>
      <c r="D5" s="7" t="s">
        <v>336</v>
      </c>
    </row>
    <row r="6" spans="1:4">
      <c r="A6" s="7">
        <v>4</v>
      </c>
      <c r="B6" s="5">
        <v>3</v>
      </c>
      <c r="C6" s="5">
        <v>0</v>
      </c>
      <c r="D6" s="7" t="s">
        <v>337</v>
      </c>
    </row>
    <row r="7" spans="1:4">
      <c r="A7" s="7">
        <v>5</v>
      </c>
      <c r="B7" s="5">
        <v>3</v>
      </c>
      <c r="C7" s="5">
        <v>0</v>
      </c>
      <c r="D7" s="7" t="s">
        <v>338</v>
      </c>
    </row>
    <row r="8" spans="1:4">
      <c r="A8" s="7">
        <v>6</v>
      </c>
      <c r="B8" s="5">
        <v>2</v>
      </c>
      <c r="C8" s="5">
        <v>1</v>
      </c>
      <c r="D8" s="7" t="s">
        <v>339</v>
      </c>
    </row>
    <row r="9" spans="1:4">
      <c r="A9" s="7">
        <v>7</v>
      </c>
      <c r="B9" s="5">
        <v>1</v>
      </c>
      <c r="C9" s="5">
        <v>1</v>
      </c>
      <c r="D9" s="7" t="s">
        <v>340</v>
      </c>
    </row>
    <row r="10" spans="1:4">
      <c r="A10" s="7">
        <v>8</v>
      </c>
      <c r="B10" s="5">
        <v>1</v>
      </c>
      <c r="C10" s="5">
        <v>1</v>
      </c>
      <c r="D10" s="7" t="s">
        <v>341</v>
      </c>
    </row>
    <row r="12" spans="1:4">
      <c r="A12" t="s">
        <v>342</v>
      </c>
      <c r="C12" t="s">
        <v>437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theme="6"/>
  </sheetPr>
  <dimension ref="A1:K120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21" sqref="C21"/>
    </sheetView>
  </sheetViews>
  <sheetFormatPr defaultColWidth="11.453125" defaultRowHeight="12.5" outlineLevelCol="1"/>
  <cols>
    <col min="1" max="2" width="13.7265625" style="18" customWidth="1"/>
    <col min="3" max="5" width="13.7265625" style="18" customWidth="1" outlineLevel="1"/>
    <col min="6" max="7" width="60.7265625" style="1" customWidth="1"/>
    <col min="8" max="12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53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</v>
      </c>
      <c r="B2" s="2" t="s">
        <v>2</v>
      </c>
      <c r="C2" s="2"/>
      <c r="D2" s="2"/>
      <c r="E2" s="2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/>
      <c r="B3" s="2"/>
      <c r="C3" s="2" t="s">
        <v>2</v>
      </c>
      <c r="D3" s="2" t="s">
        <v>2</v>
      </c>
      <c r="E3" s="2" t="s">
        <v>2</v>
      </c>
      <c r="F3" s="6" t="s">
        <v>56</v>
      </c>
      <c r="G3" s="3" t="s">
        <v>225</v>
      </c>
      <c r="H3" s="6" t="s">
        <v>215</v>
      </c>
      <c r="I3" s="5" t="s">
        <v>7</v>
      </c>
      <c r="J3" s="5" t="s">
        <v>8</v>
      </c>
      <c r="K3" s="5" t="s">
        <v>9</v>
      </c>
    </row>
    <row r="4" spans="1:11">
      <c r="A4" s="2"/>
      <c r="B4" s="2">
        <v>1</v>
      </c>
      <c r="C4" s="2">
        <v>3</v>
      </c>
      <c r="D4" s="2">
        <f>VLOOKUP($C4,DEFINES!$A$2:$C$10,2,)</f>
        <v>3</v>
      </c>
      <c r="E4" s="2">
        <f>VLOOKUP($C4,DEFINES!$A$2:$C$10,3,)</f>
        <v>0</v>
      </c>
      <c r="F4" s="3" t="s">
        <v>6</v>
      </c>
      <c r="G4" s="3" t="s">
        <v>293</v>
      </c>
      <c r="H4" s="3" t="s">
        <v>216</v>
      </c>
      <c r="I4" s="6" t="s">
        <v>10</v>
      </c>
      <c r="J4" s="6" t="s">
        <v>11</v>
      </c>
      <c r="K4" s="6" t="s">
        <v>12</v>
      </c>
    </row>
    <row r="5" spans="1:11">
      <c r="A5" s="2"/>
      <c r="B5" s="2">
        <v>2</v>
      </c>
      <c r="C5" s="2">
        <v>3</v>
      </c>
      <c r="D5" s="2">
        <f>VLOOKUP($C5,DEFINES!$A$2:$C$10,2,)</f>
        <v>3</v>
      </c>
      <c r="E5" s="2">
        <f>VLOOKUP($C5,DEFINES!$A$2:$C$10,3,)</f>
        <v>0</v>
      </c>
      <c r="F5" s="3" t="s">
        <v>6</v>
      </c>
      <c r="G5" s="3" t="s">
        <v>293</v>
      </c>
      <c r="H5" s="3" t="s">
        <v>216</v>
      </c>
      <c r="I5" s="6" t="s">
        <v>10</v>
      </c>
      <c r="J5" s="6" t="s">
        <v>11</v>
      </c>
      <c r="K5" s="6" t="s">
        <v>12</v>
      </c>
    </row>
    <row r="6" spans="1:11">
      <c r="A6" s="2"/>
      <c r="B6" s="2">
        <v>3</v>
      </c>
      <c r="C6" s="2">
        <v>3</v>
      </c>
      <c r="D6" s="2">
        <f>VLOOKUP($C6,DEFINES!$A$2:$C$10,2,)</f>
        <v>3</v>
      </c>
      <c r="E6" s="2">
        <f>VLOOKUP($C6,DEFINES!$A$2:$C$10,3,)</f>
        <v>0</v>
      </c>
      <c r="F6" s="3" t="s">
        <v>6</v>
      </c>
      <c r="G6" s="3" t="s">
        <v>293</v>
      </c>
      <c r="H6" s="3" t="s">
        <v>216</v>
      </c>
      <c r="I6" s="6" t="s">
        <v>10</v>
      </c>
      <c r="J6" s="6" t="s">
        <v>11</v>
      </c>
      <c r="K6" s="6" t="s">
        <v>12</v>
      </c>
    </row>
    <row r="7" spans="1:11">
      <c r="A7" s="2"/>
      <c r="B7" s="2">
        <v>4</v>
      </c>
      <c r="C7" s="2">
        <v>3</v>
      </c>
      <c r="D7" s="2">
        <f>VLOOKUP($C7,DEFINES!$A$2:$C$10,2,)</f>
        <v>3</v>
      </c>
      <c r="E7" s="2">
        <f>VLOOKUP($C7,DEFINES!$A$2:$C$10,3,)</f>
        <v>0</v>
      </c>
      <c r="F7" s="3" t="s">
        <v>6</v>
      </c>
      <c r="G7" s="3" t="s">
        <v>293</v>
      </c>
      <c r="H7" s="3" t="s">
        <v>216</v>
      </c>
      <c r="I7" s="6" t="s">
        <v>10</v>
      </c>
      <c r="J7" s="6" t="s">
        <v>11</v>
      </c>
      <c r="K7" s="6" t="s">
        <v>12</v>
      </c>
    </row>
    <row r="8" spans="1:11">
      <c r="A8" s="2"/>
      <c r="B8" s="2">
        <v>5</v>
      </c>
      <c r="C8" s="2">
        <v>3</v>
      </c>
      <c r="D8" s="2">
        <f>VLOOKUP($C8,DEFINES!$A$2:$C$10,2,)</f>
        <v>3</v>
      </c>
      <c r="E8" s="2">
        <f>VLOOKUP($C8,DEFINES!$A$2:$C$10,3,)</f>
        <v>0</v>
      </c>
      <c r="F8" s="3" t="s">
        <v>6</v>
      </c>
      <c r="G8" s="3" t="s">
        <v>293</v>
      </c>
      <c r="H8" s="3" t="s">
        <v>216</v>
      </c>
      <c r="I8" s="6" t="s">
        <v>10</v>
      </c>
      <c r="J8" s="6" t="s">
        <v>11</v>
      </c>
      <c r="K8" s="6" t="s">
        <v>12</v>
      </c>
    </row>
    <row r="9" spans="1:11">
      <c r="A9" s="2"/>
      <c r="B9" s="2">
        <v>6</v>
      </c>
      <c r="C9" s="2">
        <v>3</v>
      </c>
      <c r="D9" s="2">
        <f>VLOOKUP($C9,DEFINES!$A$2:$C$10,2,)</f>
        <v>3</v>
      </c>
      <c r="E9" s="2">
        <f>VLOOKUP($C9,DEFINES!$A$2:$C$10,3,)</f>
        <v>0</v>
      </c>
      <c r="F9" s="3" t="s">
        <v>6</v>
      </c>
      <c r="G9" s="3" t="s">
        <v>293</v>
      </c>
      <c r="H9" s="3" t="s">
        <v>216</v>
      </c>
      <c r="I9" s="6" t="s">
        <v>10</v>
      </c>
      <c r="J9" s="6" t="s">
        <v>11</v>
      </c>
      <c r="K9" s="6" t="s">
        <v>12</v>
      </c>
    </row>
    <row r="10" spans="1:11">
      <c r="A10" s="2"/>
      <c r="B10" s="2">
        <v>7</v>
      </c>
      <c r="C10" s="2">
        <v>3</v>
      </c>
      <c r="D10" s="2">
        <f>VLOOKUP($C10,DEFINES!$A$2:$C$10,2,)</f>
        <v>3</v>
      </c>
      <c r="E10" s="2">
        <f>VLOOKUP($C10,DEFINES!$A$2:$C$10,3,)</f>
        <v>0</v>
      </c>
      <c r="F10" s="3" t="s">
        <v>6</v>
      </c>
      <c r="G10" s="3" t="s">
        <v>293</v>
      </c>
      <c r="H10" s="3" t="s">
        <v>216</v>
      </c>
      <c r="I10" s="6" t="s">
        <v>10</v>
      </c>
      <c r="J10" s="6" t="s">
        <v>11</v>
      </c>
      <c r="K10" s="6" t="s">
        <v>12</v>
      </c>
    </row>
    <row r="11" spans="1:11">
      <c r="A11" s="2"/>
      <c r="B11" s="2">
        <v>8</v>
      </c>
      <c r="C11" s="2">
        <v>3</v>
      </c>
      <c r="D11" s="2">
        <f>VLOOKUP($C11,DEFINES!$A$2:$C$10,2,)</f>
        <v>3</v>
      </c>
      <c r="E11" s="2">
        <f>VLOOKUP($C11,DEFINES!$A$2:$C$10,3,)</f>
        <v>0</v>
      </c>
      <c r="F11" s="3" t="s">
        <v>6</v>
      </c>
      <c r="G11" s="3" t="s">
        <v>293</v>
      </c>
      <c r="H11" s="3" t="s">
        <v>216</v>
      </c>
      <c r="I11" s="6" t="s">
        <v>10</v>
      </c>
      <c r="J11" s="6" t="s">
        <v>11</v>
      </c>
      <c r="K11" s="6" t="s">
        <v>12</v>
      </c>
    </row>
    <row r="12" spans="1:11">
      <c r="A12" s="2"/>
      <c r="B12" s="2">
        <v>9</v>
      </c>
      <c r="C12" s="2">
        <v>3</v>
      </c>
      <c r="D12" s="2">
        <f>VLOOKUP($C12,DEFINES!$A$2:$C$10,2,)</f>
        <v>3</v>
      </c>
      <c r="E12" s="2">
        <f>VLOOKUP($C12,DEFINES!$A$2:$C$10,3,)</f>
        <v>0</v>
      </c>
      <c r="F12" s="3" t="s">
        <v>6</v>
      </c>
      <c r="G12" s="3" t="s">
        <v>293</v>
      </c>
      <c r="H12" s="3" t="s">
        <v>216</v>
      </c>
      <c r="I12" s="6" t="s">
        <v>10</v>
      </c>
      <c r="J12" s="6" t="s">
        <v>11</v>
      </c>
      <c r="K12" s="6" t="s">
        <v>12</v>
      </c>
    </row>
    <row r="13" spans="1:11">
      <c r="A13" s="5"/>
      <c r="B13" s="2">
        <v>10</v>
      </c>
      <c r="C13" s="2">
        <v>3</v>
      </c>
      <c r="D13" s="2">
        <f>VLOOKUP($C13,DEFINES!$A$2:$C$10,2,)</f>
        <v>3</v>
      </c>
      <c r="E13" s="2">
        <f>VLOOKUP($C13,DEFINES!$A$2:$C$10,3,)</f>
        <v>0</v>
      </c>
      <c r="F13" s="3" t="s">
        <v>6</v>
      </c>
      <c r="G13" s="3" t="s">
        <v>293</v>
      </c>
      <c r="H13" s="3" t="s">
        <v>216</v>
      </c>
      <c r="I13" s="6" t="s">
        <v>10</v>
      </c>
      <c r="J13" s="6" t="s">
        <v>11</v>
      </c>
      <c r="K13" s="6" t="s">
        <v>12</v>
      </c>
    </row>
    <row r="14" spans="1:11">
      <c r="A14"/>
      <c r="B14"/>
      <c r="C14"/>
      <c r="D14"/>
      <c r="E14"/>
      <c r="F14"/>
      <c r="G14"/>
    </row>
    <row r="15" spans="1:11">
      <c r="A15"/>
      <c r="B15"/>
      <c r="C15"/>
      <c r="D15"/>
      <c r="E15"/>
      <c r="F15"/>
      <c r="G15"/>
    </row>
    <row r="16" spans="1:11">
      <c r="A16"/>
      <c r="B16"/>
      <c r="C16"/>
      <c r="D16"/>
      <c r="E16"/>
      <c r="F16"/>
      <c r="G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</sheetData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>
    <tabColor theme="6"/>
  </sheetPr>
  <dimension ref="A1:K13"/>
  <sheetViews>
    <sheetView workbookViewId="0">
      <pane xSplit="5" ySplit="3" topLeftCell="F4" activePane="bottomRight" state="frozen"/>
      <selection activeCell="B59" sqref="B59:B60"/>
      <selection pane="topRight" activeCell="B59" sqref="B59:B60"/>
      <selection pane="bottomLeft" activeCell="B59" sqref="B59:B60"/>
      <selection pane="bottomRight" activeCell="C4" sqref="C4:E13"/>
    </sheetView>
  </sheetViews>
  <sheetFormatPr defaultColWidth="11.453125" defaultRowHeight="12.5" outlineLevelCol="1"/>
  <cols>
    <col min="3" max="5" width="11.453125" customWidth="1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2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/>
      <c r="B3" s="5"/>
      <c r="C3" s="2" t="s">
        <v>2</v>
      </c>
      <c r="D3" s="2" t="s">
        <v>2</v>
      </c>
      <c r="E3" s="2" t="s">
        <v>2</v>
      </c>
      <c r="F3" s="3" t="s">
        <v>55</v>
      </c>
      <c r="G3" s="3" t="s">
        <v>226</v>
      </c>
      <c r="H3" s="6" t="s">
        <v>215</v>
      </c>
      <c r="I3" s="5" t="s">
        <v>15</v>
      </c>
      <c r="J3" s="5" t="s">
        <v>13</v>
      </c>
      <c r="K3" s="5" t="s">
        <v>14</v>
      </c>
    </row>
    <row r="4" spans="1:11">
      <c r="A4" s="2"/>
      <c r="B4" s="2">
        <v>1</v>
      </c>
      <c r="C4" s="2">
        <v>6</v>
      </c>
      <c r="D4" s="2">
        <f>VLOOKUP($C4,DEFINES!$A$2:$C$10,2,)</f>
        <v>2</v>
      </c>
      <c r="E4" s="2">
        <f>VLOOKUP($C4,DEFINES!$A$2:$C$10,3,)</f>
        <v>1</v>
      </c>
      <c r="F4" s="3" t="s">
        <v>6</v>
      </c>
      <c r="G4" s="3" t="s">
        <v>6</v>
      </c>
      <c r="H4" s="3" t="s">
        <v>216</v>
      </c>
      <c r="I4" s="6" t="s">
        <v>10</v>
      </c>
      <c r="J4" s="6" t="s">
        <v>11</v>
      </c>
      <c r="K4" s="6" t="s">
        <v>12</v>
      </c>
    </row>
    <row r="5" spans="1:11">
      <c r="A5" s="2"/>
      <c r="B5" s="2">
        <v>2</v>
      </c>
      <c r="C5" s="2">
        <v>6</v>
      </c>
      <c r="D5" s="2">
        <f>VLOOKUP($C5,DEFINES!$A$2:$C$10,2,)</f>
        <v>2</v>
      </c>
      <c r="E5" s="2">
        <f>VLOOKUP($C5,DEFINES!$A$2:$C$10,3,)</f>
        <v>1</v>
      </c>
      <c r="F5" s="3" t="s">
        <v>6</v>
      </c>
      <c r="G5" s="3" t="s">
        <v>6</v>
      </c>
      <c r="H5" s="3" t="s">
        <v>216</v>
      </c>
      <c r="I5" s="6" t="s">
        <v>10</v>
      </c>
      <c r="J5" s="6" t="s">
        <v>11</v>
      </c>
      <c r="K5" s="6" t="s">
        <v>12</v>
      </c>
    </row>
    <row r="6" spans="1:11">
      <c r="A6" s="2"/>
      <c r="B6" s="2">
        <v>3</v>
      </c>
      <c r="C6" s="2">
        <v>6</v>
      </c>
      <c r="D6" s="2">
        <f>VLOOKUP($C6,DEFINES!$A$2:$C$10,2,)</f>
        <v>2</v>
      </c>
      <c r="E6" s="2">
        <f>VLOOKUP($C6,DEFINES!$A$2:$C$10,3,)</f>
        <v>1</v>
      </c>
      <c r="F6" s="3" t="s">
        <v>6</v>
      </c>
      <c r="G6" s="3" t="s">
        <v>6</v>
      </c>
      <c r="H6" s="3" t="s">
        <v>216</v>
      </c>
      <c r="I6" s="6" t="s">
        <v>10</v>
      </c>
      <c r="J6" s="6" t="s">
        <v>11</v>
      </c>
      <c r="K6" s="6" t="s">
        <v>12</v>
      </c>
    </row>
    <row r="7" spans="1:11">
      <c r="A7" s="2"/>
      <c r="B7" s="2">
        <v>4</v>
      </c>
      <c r="C7" s="2">
        <v>6</v>
      </c>
      <c r="D7" s="2">
        <f>VLOOKUP($C7,DEFINES!$A$2:$C$10,2,)</f>
        <v>2</v>
      </c>
      <c r="E7" s="2">
        <f>VLOOKUP($C7,DEFINES!$A$2:$C$10,3,)</f>
        <v>1</v>
      </c>
      <c r="F7" s="3" t="s">
        <v>6</v>
      </c>
      <c r="G7" s="3" t="s">
        <v>6</v>
      </c>
      <c r="H7" s="3" t="s">
        <v>216</v>
      </c>
      <c r="I7" s="6" t="s">
        <v>10</v>
      </c>
      <c r="J7" s="6" t="s">
        <v>11</v>
      </c>
      <c r="K7" s="6" t="s">
        <v>12</v>
      </c>
    </row>
    <row r="8" spans="1:11">
      <c r="A8" s="2"/>
      <c r="B8" s="2">
        <v>5</v>
      </c>
      <c r="C8" s="2">
        <v>6</v>
      </c>
      <c r="D8" s="2">
        <f>VLOOKUP($C8,DEFINES!$A$2:$C$10,2,)</f>
        <v>2</v>
      </c>
      <c r="E8" s="2">
        <f>VLOOKUP($C8,DEFINES!$A$2:$C$10,3,)</f>
        <v>1</v>
      </c>
      <c r="F8" s="3" t="s">
        <v>6</v>
      </c>
      <c r="G8" s="3" t="s">
        <v>6</v>
      </c>
      <c r="H8" s="3" t="s">
        <v>216</v>
      </c>
      <c r="I8" s="6" t="s">
        <v>10</v>
      </c>
      <c r="J8" s="6" t="s">
        <v>11</v>
      </c>
      <c r="K8" s="6" t="s">
        <v>12</v>
      </c>
    </row>
    <row r="9" spans="1:11">
      <c r="A9" s="2"/>
      <c r="B9" s="2">
        <v>6</v>
      </c>
      <c r="C9" s="2">
        <v>6</v>
      </c>
      <c r="D9" s="2">
        <f>VLOOKUP($C9,DEFINES!$A$2:$C$10,2,)</f>
        <v>2</v>
      </c>
      <c r="E9" s="2">
        <f>VLOOKUP($C9,DEFINES!$A$2:$C$10,3,)</f>
        <v>1</v>
      </c>
      <c r="F9" s="3" t="s">
        <v>6</v>
      </c>
      <c r="G9" s="3" t="s">
        <v>6</v>
      </c>
      <c r="H9" s="3" t="s">
        <v>216</v>
      </c>
      <c r="I9" s="6" t="s">
        <v>10</v>
      </c>
      <c r="J9" s="6" t="s">
        <v>11</v>
      </c>
      <c r="K9" s="6" t="s">
        <v>12</v>
      </c>
    </row>
    <row r="10" spans="1:11">
      <c r="A10" s="2"/>
      <c r="B10" s="2">
        <v>7</v>
      </c>
      <c r="C10" s="2">
        <v>6</v>
      </c>
      <c r="D10" s="2">
        <f>VLOOKUP($C10,DEFINES!$A$2:$C$10,2,)</f>
        <v>2</v>
      </c>
      <c r="E10" s="2">
        <f>VLOOKUP($C10,DEFINES!$A$2:$C$10,3,)</f>
        <v>1</v>
      </c>
      <c r="F10" s="3" t="s">
        <v>6</v>
      </c>
      <c r="G10" s="3" t="s">
        <v>6</v>
      </c>
      <c r="H10" s="3" t="s">
        <v>216</v>
      </c>
      <c r="I10" s="6" t="s">
        <v>10</v>
      </c>
      <c r="J10" s="6" t="s">
        <v>11</v>
      </c>
      <c r="K10" s="6" t="s">
        <v>12</v>
      </c>
    </row>
    <row r="11" spans="1:11">
      <c r="A11" s="2"/>
      <c r="B11" s="2">
        <v>8</v>
      </c>
      <c r="C11" s="2">
        <v>6</v>
      </c>
      <c r="D11" s="2">
        <f>VLOOKUP($C11,DEFINES!$A$2:$C$10,2,)</f>
        <v>2</v>
      </c>
      <c r="E11" s="2">
        <f>VLOOKUP($C11,DEFINES!$A$2:$C$10,3,)</f>
        <v>1</v>
      </c>
      <c r="F11" s="3" t="s">
        <v>6</v>
      </c>
      <c r="G11" s="3" t="s">
        <v>6</v>
      </c>
      <c r="H11" s="3" t="s">
        <v>216</v>
      </c>
      <c r="I11" s="6" t="s">
        <v>10</v>
      </c>
      <c r="J11" s="6" t="s">
        <v>11</v>
      </c>
      <c r="K11" s="6" t="s">
        <v>12</v>
      </c>
    </row>
    <row r="12" spans="1:11">
      <c r="A12" s="2"/>
      <c r="B12" s="2">
        <v>9</v>
      </c>
      <c r="C12" s="2">
        <v>6</v>
      </c>
      <c r="D12" s="2">
        <f>VLOOKUP($C12,DEFINES!$A$2:$C$10,2,)</f>
        <v>2</v>
      </c>
      <c r="E12" s="2">
        <f>VLOOKUP($C12,DEFINES!$A$2:$C$10,3,)</f>
        <v>1</v>
      </c>
      <c r="F12" s="3" t="s">
        <v>6</v>
      </c>
      <c r="G12" s="3" t="s">
        <v>6</v>
      </c>
      <c r="H12" s="3" t="s">
        <v>216</v>
      </c>
      <c r="I12" s="6" t="s">
        <v>10</v>
      </c>
      <c r="J12" s="6" t="s">
        <v>11</v>
      </c>
      <c r="K12" s="6" t="s">
        <v>12</v>
      </c>
    </row>
    <row r="13" spans="1:11">
      <c r="A13" s="5"/>
      <c r="B13" s="2">
        <v>10</v>
      </c>
      <c r="C13" s="2">
        <v>6</v>
      </c>
      <c r="D13" s="2">
        <f>VLOOKUP($C13,DEFINES!$A$2:$C$10,2,)</f>
        <v>2</v>
      </c>
      <c r="E13" s="2">
        <f>VLOOKUP($C13,DEFINES!$A$2:$C$10,3,)</f>
        <v>1</v>
      </c>
      <c r="F13" s="3" t="s">
        <v>6</v>
      </c>
      <c r="G13" s="3" t="s">
        <v>6</v>
      </c>
      <c r="H13" s="3" t="s">
        <v>216</v>
      </c>
      <c r="I13" s="6" t="s">
        <v>10</v>
      </c>
      <c r="J13" s="6" t="s">
        <v>11</v>
      </c>
      <c r="K13" s="6" t="s">
        <v>12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>
    <tabColor theme="6"/>
  </sheetPr>
  <dimension ref="A1:K13"/>
  <sheetViews>
    <sheetView workbookViewId="0">
      <pane xSplit="5" ySplit="3" topLeftCell="F4" activePane="bottomRight" state="frozen"/>
      <selection activeCell="B59" sqref="B59:B60"/>
      <selection pane="topRight" activeCell="B59" sqref="B59:B60"/>
      <selection pane="bottomLeft" activeCell="B59" sqref="B59:B60"/>
      <selection pane="bottomRight" activeCell="F32" sqref="F32"/>
    </sheetView>
  </sheetViews>
  <sheetFormatPr defaultColWidth="11.453125" defaultRowHeight="12.5" outlineLevelCol="1"/>
  <cols>
    <col min="3" max="5" width="11.453125" customWidth="1" outlineLevel="1"/>
    <col min="6" max="6" width="90.7265625" customWidth="1"/>
    <col min="7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3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/>
      <c r="B3" s="5"/>
      <c r="C3" s="2" t="s">
        <v>2</v>
      </c>
      <c r="D3" s="2" t="s">
        <v>2</v>
      </c>
      <c r="E3" s="2" t="s">
        <v>2</v>
      </c>
      <c r="F3" s="3" t="s">
        <v>57</v>
      </c>
      <c r="G3" s="3" t="s">
        <v>232</v>
      </c>
      <c r="H3" s="6" t="s">
        <v>215</v>
      </c>
      <c r="I3" s="5" t="s">
        <v>15</v>
      </c>
      <c r="J3" s="5" t="s">
        <v>16</v>
      </c>
      <c r="K3" s="5" t="s">
        <v>17</v>
      </c>
    </row>
    <row r="4" spans="1:11">
      <c r="A4" s="2"/>
      <c r="B4" s="2">
        <v>1</v>
      </c>
      <c r="C4" s="2">
        <f>TCEVENTCLASS_ALARM</f>
        <v>7</v>
      </c>
      <c r="D4" s="2">
        <f>VLOOKUP($C4,DEFINES!$A$2:$C$10,2,)</f>
        <v>1</v>
      </c>
      <c r="E4" s="2">
        <f>VLOOKUP($C4,DEFINES!$A$2:$C$10,3,)</f>
        <v>1</v>
      </c>
      <c r="F4" s="3" t="s">
        <v>58</v>
      </c>
      <c r="G4" s="3" t="s">
        <v>52</v>
      </c>
      <c r="H4" s="3" t="s">
        <v>216</v>
      </c>
      <c r="I4" s="6" t="s">
        <v>10</v>
      </c>
      <c r="J4" s="6" t="s">
        <v>11</v>
      </c>
      <c r="K4" s="6" t="s">
        <v>12</v>
      </c>
    </row>
    <row r="5" spans="1:11">
      <c r="A5" s="2"/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3" t="s">
        <v>59</v>
      </c>
      <c r="G5" s="3" t="s">
        <v>231</v>
      </c>
      <c r="H5" s="3" t="s">
        <v>216</v>
      </c>
      <c r="I5" s="6" t="s">
        <v>10</v>
      </c>
      <c r="J5" s="6" t="s">
        <v>11</v>
      </c>
      <c r="K5" s="6" t="s">
        <v>12</v>
      </c>
    </row>
    <row r="6" spans="1:11">
      <c r="A6" s="2"/>
      <c r="B6" s="2">
        <v>3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3" t="s">
        <v>230</v>
      </c>
      <c r="G6" s="3" t="s">
        <v>229</v>
      </c>
      <c r="H6" s="3" t="s">
        <v>216</v>
      </c>
      <c r="I6" s="6" t="s">
        <v>10</v>
      </c>
      <c r="J6" s="6" t="s">
        <v>11</v>
      </c>
      <c r="K6" s="6" t="s">
        <v>12</v>
      </c>
    </row>
    <row r="7" spans="1:11">
      <c r="A7" s="2"/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3" t="s">
        <v>228</v>
      </c>
      <c r="G7" s="3" t="s">
        <v>227</v>
      </c>
      <c r="H7" s="3" t="s">
        <v>216</v>
      </c>
      <c r="I7" s="6" t="s">
        <v>10</v>
      </c>
      <c r="J7" s="6" t="s">
        <v>11</v>
      </c>
      <c r="K7" s="6" t="s">
        <v>12</v>
      </c>
    </row>
    <row r="8" spans="1:11">
      <c r="A8" s="2"/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3" t="s">
        <v>6</v>
      </c>
      <c r="G8" s="3" t="s">
        <v>6</v>
      </c>
      <c r="H8" s="3" t="s">
        <v>216</v>
      </c>
      <c r="I8" s="6" t="s">
        <v>10</v>
      </c>
      <c r="J8" s="6" t="s">
        <v>11</v>
      </c>
      <c r="K8" s="6" t="s">
        <v>12</v>
      </c>
    </row>
    <row r="9" spans="1:11">
      <c r="A9" s="2"/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3" t="s">
        <v>6</v>
      </c>
      <c r="G9" s="3" t="s">
        <v>6</v>
      </c>
      <c r="H9" s="3" t="s">
        <v>216</v>
      </c>
      <c r="I9" s="6" t="s">
        <v>10</v>
      </c>
      <c r="J9" s="6" t="s">
        <v>11</v>
      </c>
      <c r="K9" s="6" t="s">
        <v>12</v>
      </c>
    </row>
    <row r="10" spans="1:11">
      <c r="A10" s="2"/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6</v>
      </c>
      <c r="G10" s="3" t="s">
        <v>6</v>
      </c>
      <c r="H10" s="3" t="s">
        <v>216</v>
      </c>
      <c r="I10" s="6" t="s">
        <v>10</v>
      </c>
      <c r="J10" s="6" t="s">
        <v>11</v>
      </c>
      <c r="K10" s="6" t="s">
        <v>12</v>
      </c>
    </row>
    <row r="11" spans="1:11">
      <c r="A11" s="2"/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3" t="s">
        <v>6</v>
      </c>
      <c r="G11" s="3" t="s">
        <v>6</v>
      </c>
      <c r="H11" s="3" t="s">
        <v>216</v>
      </c>
      <c r="I11" s="6" t="s">
        <v>10</v>
      </c>
      <c r="J11" s="6" t="s">
        <v>11</v>
      </c>
      <c r="K11" s="6" t="s">
        <v>12</v>
      </c>
    </row>
    <row r="12" spans="1:11">
      <c r="A12" s="2"/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78</v>
      </c>
      <c r="G12" s="3" t="s">
        <v>6</v>
      </c>
      <c r="H12" s="3" t="s">
        <v>216</v>
      </c>
      <c r="I12" s="6" t="s">
        <v>10</v>
      </c>
      <c r="J12" s="6" t="s">
        <v>11</v>
      </c>
      <c r="K12" s="6" t="s">
        <v>12</v>
      </c>
    </row>
    <row r="13" spans="1:11">
      <c r="A13" s="5"/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79</v>
      </c>
      <c r="G13" s="3" t="s">
        <v>6</v>
      </c>
      <c r="H13" s="3" t="s">
        <v>216</v>
      </c>
      <c r="I13" s="6" t="s">
        <v>10</v>
      </c>
      <c r="J13" s="6" t="s">
        <v>11</v>
      </c>
      <c r="K13" s="6" t="s">
        <v>12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/>
  </sheetPr>
  <dimension ref="A1:O14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4" sqref="C4:E13"/>
    </sheetView>
  </sheetViews>
  <sheetFormatPr defaultColWidth="11.453125" defaultRowHeight="12.5" outlineLevelCol="1"/>
  <cols>
    <col min="3" max="5" width="11.453125" customWidth="1" outlineLevel="1"/>
    <col min="6" max="6" width="59" customWidth="1"/>
    <col min="7" max="11" width="60.7265625" customWidth="1"/>
  </cols>
  <sheetData>
    <row r="1" spans="1:15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  <c r="L1" s="17" t="s">
        <v>221</v>
      </c>
      <c r="M1" s="17" t="s">
        <v>222</v>
      </c>
      <c r="N1" s="17" t="s">
        <v>223</v>
      </c>
      <c r="O1" s="17" t="s">
        <v>224</v>
      </c>
    </row>
    <row r="2" spans="1:15">
      <c r="A2" s="2">
        <v>4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  <c r="L2" s="13">
        <v>1055</v>
      </c>
      <c r="M2" s="13">
        <v>1029</v>
      </c>
      <c r="N2" s="13">
        <v>1045</v>
      </c>
      <c r="O2" s="13">
        <v>1049</v>
      </c>
    </row>
    <row r="3" spans="1:15">
      <c r="A3" s="2"/>
      <c r="B3" s="5"/>
      <c r="C3" s="2" t="s">
        <v>2</v>
      </c>
      <c r="D3" s="2" t="s">
        <v>2</v>
      </c>
      <c r="E3" s="2" t="s">
        <v>2</v>
      </c>
      <c r="F3" s="3" t="s">
        <v>167</v>
      </c>
      <c r="G3" s="3" t="s">
        <v>136</v>
      </c>
      <c r="H3" s="6" t="s">
        <v>215</v>
      </c>
      <c r="I3" s="5" t="s">
        <v>15</v>
      </c>
      <c r="J3" s="5" t="s">
        <v>16</v>
      </c>
      <c r="K3" s="5" t="s">
        <v>17</v>
      </c>
    </row>
    <row r="4" spans="1:15">
      <c r="A4" s="2"/>
      <c r="B4" s="2">
        <v>1</v>
      </c>
      <c r="C4" s="2">
        <f>TCEVENTCLASS_ALARM</f>
        <v>7</v>
      </c>
      <c r="D4" s="2">
        <f>VLOOKUP($C4,DEFINES!$A$2:$C$10,2,)</f>
        <v>1</v>
      </c>
      <c r="E4" s="2">
        <f>VLOOKUP($C4,DEFINES!$A$2:$C$10,3,)</f>
        <v>1</v>
      </c>
      <c r="F4" s="3" t="s">
        <v>6</v>
      </c>
      <c r="G4" s="3" t="s">
        <v>6</v>
      </c>
      <c r="H4" s="3" t="s">
        <v>216</v>
      </c>
      <c r="I4" s="6" t="s">
        <v>10</v>
      </c>
      <c r="J4" s="6" t="s">
        <v>11</v>
      </c>
      <c r="K4" s="6" t="s">
        <v>12</v>
      </c>
    </row>
    <row r="5" spans="1:15">
      <c r="A5" s="2"/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3" t="s">
        <v>6</v>
      </c>
      <c r="G5" s="3" t="s">
        <v>6</v>
      </c>
      <c r="H5" s="3" t="s">
        <v>216</v>
      </c>
      <c r="I5" s="6" t="s">
        <v>10</v>
      </c>
      <c r="J5" s="6" t="s">
        <v>11</v>
      </c>
      <c r="K5" s="6" t="s">
        <v>12</v>
      </c>
    </row>
    <row r="6" spans="1:15">
      <c r="A6" s="2"/>
      <c r="B6" s="2">
        <v>3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3" t="s">
        <v>6</v>
      </c>
      <c r="G6" s="3" t="s">
        <v>6</v>
      </c>
      <c r="H6" s="3" t="s">
        <v>216</v>
      </c>
      <c r="I6" s="6" t="s">
        <v>10</v>
      </c>
      <c r="J6" s="6" t="s">
        <v>11</v>
      </c>
      <c r="K6" s="6" t="s">
        <v>12</v>
      </c>
    </row>
    <row r="7" spans="1:15">
      <c r="A7" s="2"/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3" t="s">
        <v>6</v>
      </c>
      <c r="G7" s="3" t="s">
        <v>6</v>
      </c>
      <c r="H7" s="3" t="s">
        <v>216</v>
      </c>
      <c r="I7" s="6" t="s">
        <v>10</v>
      </c>
      <c r="J7" s="6" t="s">
        <v>11</v>
      </c>
      <c r="K7" s="6" t="s">
        <v>12</v>
      </c>
    </row>
    <row r="8" spans="1:15">
      <c r="A8" s="2"/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3" t="s">
        <v>6</v>
      </c>
      <c r="G8" s="3" t="s">
        <v>6</v>
      </c>
      <c r="H8" s="3" t="s">
        <v>216</v>
      </c>
      <c r="I8" s="6" t="s">
        <v>10</v>
      </c>
      <c r="J8" s="6" t="s">
        <v>11</v>
      </c>
      <c r="K8" s="6" t="s">
        <v>12</v>
      </c>
    </row>
    <row r="9" spans="1:15">
      <c r="A9" s="2"/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3" t="s">
        <v>6</v>
      </c>
      <c r="G9" s="3" t="s">
        <v>6</v>
      </c>
      <c r="H9" s="3" t="s">
        <v>216</v>
      </c>
      <c r="I9" s="6" t="s">
        <v>10</v>
      </c>
      <c r="J9" s="6" t="s">
        <v>11</v>
      </c>
      <c r="K9" s="6" t="s">
        <v>12</v>
      </c>
    </row>
    <row r="10" spans="1:15">
      <c r="A10" s="2"/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6</v>
      </c>
      <c r="G10" s="3" t="s">
        <v>6</v>
      </c>
      <c r="H10" s="3" t="s">
        <v>216</v>
      </c>
      <c r="I10" s="6" t="s">
        <v>10</v>
      </c>
      <c r="J10" s="6" t="s">
        <v>11</v>
      </c>
      <c r="K10" s="6" t="s">
        <v>12</v>
      </c>
    </row>
    <row r="11" spans="1:15">
      <c r="A11" s="2"/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3" t="s">
        <v>6</v>
      </c>
      <c r="G11" s="3" t="s">
        <v>6</v>
      </c>
      <c r="H11" s="3" t="s">
        <v>216</v>
      </c>
      <c r="I11" s="6" t="s">
        <v>10</v>
      </c>
      <c r="J11" s="6" t="s">
        <v>11</v>
      </c>
      <c r="K11" s="6" t="s">
        <v>12</v>
      </c>
    </row>
    <row r="12" spans="1:15">
      <c r="A12" s="2"/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6</v>
      </c>
      <c r="G12" s="3" t="s">
        <v>6</v>
      </c>
      <c r="H12" s="3" t="s">
        <v>216</v>
      </c>
      <c r="I12" s="6" t="s">
        <v>10</v>
      </c>
      <c r="J12" s="6" t="s">
        <v>11</v>
      </c>
      <c r="K12" s="6" t="s">
        <v>12</v>
      </c>
    </row>
    <row r="13" spans="1:15">
      <c r="A13" s="2"/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6</v>
      </c>
      <c r="G13" s="3" t="s">
        <v>6</v>
      </c>
      <c r="H13" s="3" t="s">
        <v>216</v>
      </c>
      <c r="I13" s="6" t="s">
        <v>10</v>
      </c>
      <c r="J13" s="6" t="s">
        <v>11</v>
      </c>
      <c r="K13" s="6" t="s">
        <v>12</v>
      </c>
    </row>
    <row r="14" spans="1:15">
      <c r="A14" s="5"/>
    </row>
  </sheetData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2">
    <tabColor rgb="FFFFFF00"/>
  </sheetPr>
  <dimension ref="A1:K28"/>
  <sheetViews>
    <sheetView workbookViewId="0">
      <pane xSplit="5" ySplit="3" topLeftCell="F4" activePane="bottomRight" state="frozen"/>
      <selection activeCell="F43" sqref="F43"/>
      <selection pane="topRight" activeCell="F43" sqref="F43"/>
      <selection pane="bottomLeft" activeCell="F43" sqref="F43"/>
      <selection pane="bottomRight" activeCell="G52" sqref="G52"/>
    </sheetView>
  </sheetViews>
  <sheetFormatPr defaultColWidth="11.453125" defaultRowHeight="12.5" outlineLevelCol="1"/>
  <cols>
    <col min="3" max="5" width="11.453125" customWidth="1" outlineLevel="1"/>
    <col min="6" max="6" width="54.1796875" customWidth="1"/>
    <col min="7" max="7" width="105.26953125" customWidth="1"/>
    <col min="8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330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 ht="13">
      <c r="A3" s="2"/>
      <c r="B3" s="5"/>
      <c r="C3" s="2" t="s">
        <v>2</v>
      </c>
      <c r="D3" s="2" t="s">
        <v>2</v>
      </c>
      <c r="E3" s="2" t="s">
        <v>2</v>
      </c>
      <c r="F3" s="6" t="s">
        <v>54</v>
      </c>
      <c r="G3" s="6" t="s">
        <v>285</v>
      </c>
      <c r="H3" s="9" t="s">
        <v>284</v>
      </c>
      <c r="I3" s="7" t="s">
        <v>21</v>
      </c>
      <c r="J3" s="7" t="s">
        <v>22</v>
      </c>
      <c r="K3" s="7" t="s">
        <v>23</v>
      </c>
    </row>
    <row r="4" spans="1:11">
      <c r="A4" s="2"/>
      <c r="B4" s="2">
        <v>1</v>
      </c>
      <c r="C4" s="2">
        <f>TCEVENTCLASS_ALARM</f>
        <v>7</v>
      </c>
      <c r="D4" s="2">
        <f>VLOOKUP($C4,DEFINES!$A$2:$C$10,2,)</f>
        <v>1</v>
      </c>
      <c r="E4" s="2">
        <f>VLOOKUP($C4,DEFINES!$A$2:$C$10,3,)</f>
        <v>1</v>
      </c>
      <c r="F4" s="6" t="s">
        <v>277</v>
      </c>
      <c r="G4" s="6" t="s">
        <v>277</v>
      </c>
      <c r="H4" s="6" t="s">
        <v>277</v>
      </c>
      <c r="I4" s="6" t="s">
        <v>10</v>
      </c>
      <c r="J4" s="6" t="s">
        <v>11</v>
      </c>
      <c r="K4" s="6" t="s">
        <v>12</v>
      </c>
    </row>
    <row r="5" spans="1:11">
      <c r="A5" s="2"/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6" t="s">
        <v>276</v>
      </c>
      <c r="G5" s="6" t="s">
        <v>276</v>
      </c>
      <c r="H5" s="6" t="s">
        <v>276</v>
      </c>
      <c r="I5" s="6" t="s">
        <v>10</v>
      </c>
      <c r="J5" s="6" t="s">
        <v>11</v>
      </c>
      <c r="K5" s="6" t="s">
        <v>12</v>
      </c>
    </row>
    <row r="6" spans="1:11">
      <c r="A6" s="2"/>
      <c r="B6" s="2">
        <v>3</v>
      </c>
      <c r="C6" s="2">
        <v>6</v>
      </c>
      <c r="D6" s="2">
        <f>VLOOKUP($C6,DEFINES!$A$2:$C$10,2,)</f>
        <v>2</v>
      </c>
      <c r="E6" s="2">
        <f>VLOOKUP($C6,DEFINES!$A$2:$C$10,3,)</f>
        <v>1</v>
      </c>
      <c r="F6" s="6" t="s">
        <v>275</v>
      </c>
      <c r="G6" s="6" t="s">
        <v>275</v>
      </c>
      <c r="H6" s="6" t="s">
        <v>275</v>
      </c>
      <c r="I6" s="6" t="s">
        <v>10</v>
      </c>
      <c r="J6" s="6" t="s">
        <v>11</v>
      </c>
      <c r="K6" s="6" t="s">
        <v>12</v>
      </c>
    </row>
    <row r="7" spans="1:11">
      <c r="A7" s="2"/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6" t="s">
        <v>343</v>
      </c>
      <c r="G7" s="6" t="s">
        <v>6</v>
      </c>
      <c r="H7" s="6" t="s">
        <v>6</v>
      </c>
      <c r="I7" s="6" t="s">
        <v>10</v>
      </c>
      <c r="J7" s="6" t="s">
        <v>11</v>
      </c>
      <c r="K7" s="6" t="s">
        <v>12</v>
      </c>
    </row>
    <row r="8" spans="1:11">
      <c r="A8" s="2"/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6" t="s">
        <v>6</v>
      </c>
      <c r="G8" s="6" t="s">
        <v>6</v>
      </c>
      <c r="H8" s="6" t="s">
        <v>6</v>
      </c>
      <c r="I8" s="6" t="s">
        <v>10</v>
      </c>
      <c r="J8" s="6" t="s">
        <v>11</v>
      </c>
      <c r="K8" s="6" t="s">
        <v>12</v>
      </c>
    </row>
    <row r="9" spans="1:11">
      <c r="A9" s="2"/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6" t="s">
        <v>281</v>
      </c>
      <c r="G9" s="6" t="s">
        <v>281</v>
      </c>
      <c r="H9" s="6" t="s">
        <v>281</v>
      </c>
      <c r="I9" s="6" t="s">
        <v>10</v>
      </c>
      <c r="J9" s="6" t="s">
        <v>11</v>
      </c>
      <c r="K9" s="6" t="s">
        <v>12</v>
      </c>
    </row>
    <row r="10" spans="1:11">
      <c r="A10" s="2"/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6" t="s">
        <v>344</v>
      </c>
      <c r="G10" s="6" t="s">
        <v>280</v>
      </c>
      <c r="H10" s="6" t="s">
        <v>280</v>
      </c>
      <c r="I10" s="6" t="s">
        <v>10</v>
      </c>
      <c r="J10" s="6" t="s">
        <v>11</v>
      </c>
      <c r="K10" s="6" t="s">
        <v>12</v>
      </c>
    </row>
    <row r="11" spans="1:11">
      <c r="A11" s="2"/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6" t="s">
        <v>345</v>
      </c>
      <c r="G11" s="6" t="s">
        <v>279</v>
      </c>
      <c r="H11" s="6" t="s">
        <v>279</v>
      </c>
      <c r="I11" s="6" t="s">
        <v>10</v>
      </c>
      <c r="J11" s="6" t="s">
        <v>11</v>
      </c>
      <c r="K11" s="6" t="s">
        <v>12</v>
      </c>
    </row>
    <row r="12" spans="1:11">
      <c r="A12" s="2"/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6" t="s">
        <v>346</v>
      </c>
      <c r="G12" s="6" t="s">
        <v>347</v>
      </c>
      <c r="H12" s="6" t="s">
        <v>347</v>
      </c>
      <c r="I12" s="6" t="s">
        <v>10</v>
      </c>
      <c r="J12" s="6" t="s">
        <v>11</v>
      </c>
      <c r="K12" s="6" t="s">
        <v>12</v>
      </c>
    </row>
    <row r="13" spans="1:11">
      <c r="A13" s="2"/>
      <c r="B13" s="2">
        <v>10</v>
      </c>
      <c r="C13" s="2">
        <f>TCEVENTCLASS_WARNING</f>
        <v>6</v>
      </c>
      <c r="D13" s="2">
        <f>VLOOKUP($C13,DEFINES!$A$2:$C$10,2,)</f>
        <v>2</v>
      </c>
      <c r="E13" s="2">
        <f>VLOOKUP($C13,DEFINES!$A$2:$C$10,3,)</f>
        <v>1</v>
      </c>
      <c r="F13" s="6" t="s">
        <v>348</v>
      </c>
      <c r="G13" s="6" t="s">
        <v>348</v>
      </c>
      <c r="H13" s="6" t="s">
        <v>348</v>
      </c>
      <c r="I13" s="6" t="s">
        <v>10</v>
      </c>
      <c r="J13" s="6" t="s">
        <v>11</v>
      </c>
      <c r="K13" s="6" t="s">
        <v>12</v>
      </c>
    </row>
    <row r="14" spans="1:11">
      <c r="A14" s="10"/>
      <c r="B14" s="10">
        <v>11</v>
      </c>
      <c r="C14" s="10">
        <v>7</v>
      </c>
      <c r="D14" s="10">
        <f>VLOOKUP($C14,DEFINES!$A$2:$C$10,2,)</f>
        <v>1</v>
      </c>
      <c r="E14" s="10">
        <f>VLOOKUP($C14,DEFINES!$A$2:$C$10,3,)</f>
        <v>1</v>
      </c>
      <c r="F14" s="6" t="s">
        <v>349</v>
      </c>
      <c r="G14" s="6" t="s">
        <v>349</v>
      </c>
      <c r="H14" s="6" t="s">
        <v>349</v>
      </c>
      <c r="I14" s="11" t="s">
        <v>10</v>
      </c>
      <c r="J14" s="11" t="s">
        <v>11</v>
      </c>
      <c r="K14" s="11" t="s">
        <v>12</v>
      </c>
    </row>
    <row r="15" spans="1:11">
      <c r="A15" s="2"/>
      <c r="B15" s="2">
        <v>12</v>
      </c>
      <c r="C15" s="2">
        <v>7</v>
      </c>
      <c r="D15" s="2">
        <f>VLOOKUP($C15,DEFINES!$A$2:$C$10,2,)</f>
        <v>1</v>
      </c>
      <c r="E15" s="2">
        <f>VLOOKUP($C15,DEFINES!$A$2:$C$10,3,)</f>
        <v>1</v>
      </c>
      <c r="F15" s="6" t="s">
        <v>350</v>
      </c>
      <c r="G15" s="6" t="s">
        <v>350</v>
      </c>
      <c r="H15" s="6" t="s">
        <v>350</v>
      </c>
      <c r="I15" s="6" t="s">
        <v>10</v>
      </c>
      <c r="J15" s="6" t="s">
        <v>11</v>
      </c>
      <c r="K15" s="6" t="s">
        <v>12</v>
      </c>
    </row>
    <row r="16" spans="1:11">
      <c r="A16" s="2"/>
      <c r="B16" s="2">
        <v>13</v>
      </c>
      <c r="C16" s="2">
        <v>7</v>
      </c>
      <c r="D16" s="2">
        <f>VLOOKUP($C16,DEFINES!$A$2:$C$10,2,)</f>
        <v>1</v>
      </c>
      <c r="E16" s="2">
        <f>VLOOKUP($C16,DEFINES!$A$2:$C$10,3,)</f>
        <v>1</v>
      </c>
      <c r="F16" s="6" t="s">
        <v>6</v>
      </c>
      <c r="G16" s="6" t="s">
        <v>6</v>
      </c>
      <c r="H16" s="6" t="s">
        <v>6</v>
      </c>
      <c r="I16" s="6" t="s">
        <v>10</v>
      </c>
      <c r="J16" s="6" t="s">
        <v>11</v>
      </c>
      <c r="K16" s="6" t="s">
        <v>12</v>
      </c>
    </row>
    <row r="17" spans="1:11">
      <c r="A17" s="2"/>
      <c r="B17" s="2">
        <v>14</v>
      </c>
      <c r="C17" s="2">
        <v>7</v>
      </c>
      <c r="D17" s="2">
        <f>VLOOKUP($C17,DEFINES!$A$2:$C$10,2,)</f>
        <v>1</v>
      </c>
      <c r="E17" s="2">
        <f>VLOOKUP($C17,DEFINES!$A$2:$C$10,3,)</f>
        <v>1</v>
      </c>
      <c r="F17" s="6" t="s">
        <v>282</v>
      </c>
      <c r="G17" s="6" t="s">
        <v>282</v>
      </c>
      <c r="H17" s="6" t="s">
        <v>282</v>
      </c>
      <c r="I17" s="6" t="s">
        <v>10</v>
      </c>
      <c r="J17" s="6" t="s">
        <v>11</v>
      </c>
      <c r="K17" s="6" t="s">
        <v>12</v>
      </c>
    </row>
    <row r="18" spans="1:11">
      <c r="A18" s="2"/>
      <c r="B18" s="2">
        <v>15</v>
      </c>
      <c r="C18" s="2">
        <f>TCEVENTCLASSS_HINT</f>
        <v>3</v>
      </c>
      <c r="D18" s="2">
        <f>VLOOKUP($C18,DEFINES!$A$2:$C$10,2,)</f>
        <v>3</v>
      </c>
      <c r="E18" s="2">
        <f>VLOOKUP($C18,DEFINES!$A$2:$C$10,3,)</f>
        <v>0</v>
      </c>
      <c r="F18" s="6" t="s">
        <v>283</v>
      </c>
      <c r="G18" s="6" t="s">
        <v>283</v>
      </c>
      <c r="H18" s="6" t="s">
        <v>283</v>
      </c>
      <c r="I18" s="6" t="s">
        <v>10</v>
      </c>
      <c r="J18" s="6" t="s">
        <v>11</v>
      </c>
      <c r="K18" s="6" t="s">
        <v>12</v>
      </c>
    </row>
    <row r="19" spans="1:11">
      <c r="A19" s="2"/>
      <c r="B19" s="2">
        <v>16</v>
      </c>
      <c r="C19" s="2">
        <f>TCEVENTCLASS_MESSAGE</f>
        <v>2</v>
      </c>
      <c r="D19" s="2">
        <f>VLOOKUP($C19,DEFINES!$A$2:$C$10,2,)</f>
        <v>3</v>
      </c>
      <c r="E19" s="2">
        <f>VLOOKUP($C19,DEFINES!$A$2:$C$10,3,)</f>
        <v>0</v>
      </c>
      <c r="F19" s="6" t="s">
        <v>351</v>
      </c>
      <c r="G19" s="6" t="s">
        <v>351</v>
      </c>
      <c r="H19" s="6" t="s">
        <v>351</v>
      </c>
      <c r="I19" s="6" t="s">
        <v>10</v>
      </c>
      <c r="J19" s="6" t="s">
        <v>11</v>
      </c>
      <c r="K19" s="6" t="s">
        <v>12</v>
      </c>
    </row>
    <row r="20" spans="1:11">
      <c r="A20" s="2"/>
      <c r="B20" s="2">
        <v>17</v>
      </c>
      <c r="C20" s="2">
        <v>3</v>
      </c>
      <c r="D20" s="2">
        <f>VLOOKUP($C20,DEFINES!$A$2:$C$10,2,)</f>
        <v>3</v>
      </c>
      <c r="E20" s="2">
        <f>VLOOKUP($C20,DEFINES!$A$2:$C$10,3,)</f>
        <v>0</v>
      </c>
      <c r="F20" s="6" t="s">
        <v>352</v>
      </c>
      <c r="G20" s="6" t="s">
        <v>352</v>
      </c>
      <c r="H20" s="6" t="s">
        <v>352</v>
      </c>
      <c r="I20" s="6" t="s">
        <v>10</v>
      </c>
      <c r="J20" s="6" t="s">
        <v>11</v>
      </c>
      <c r="K20" s="6" t="s">
        <v>12</v>
      </c>
    </row>
    <row r="21" spans="1:11">
      <c r="A21" s="2"/>
      <c r="B21" s="2">
        <v>18</v>
      </c>
      <c r="C21" s="2">
        <v>2</v>
      </c>
      <c r="D21" s="2">
        <f>VLOOKUP($C21,DEFINES!$A$2:$C$10,2,)</f>
        <v>3</v>
      </c>
      <c r="E21" s="2">
        <f>VLOOKUP($C21,DEFINES!$A$2:$C$10,3,)</f>
        <v>0</v>
      </c>
      <c r="F21" s="6" t="s">
        <v>353</v>
      </c>
      <c r="G21" s="6" t="s">
        <v>353</v>
      </c>
      <c r="H21" s="6" t="s">
        <v>353</v>
      </c>
      <c r="I21" s="6" t="s">
        <v>10</v>
      </c>
      <c r="J21" s="6" t="s">
        <v>11</v>
      </c>
      <c r="K21" s="6" t="s">
        <v>12</v>
      </c>
    </row>
    <row r="22" spans="1:11">
      <c r="A22" s="2"/>
      <c r="B22" s="2">
        <v>19</v>
      </c>
      <c r="C22" s="2">
        <v>2</v>
      </c>
      <c r="D22" s="2">
        <f>VLOOKUP($C22,DEFINES!$A$2:$C$10,2,)</f>
        <v>3</v>
      </c>
      <c r="E22" s="2">
        <f>VLOOKUP($C22,DEFINES!$A$2:$C$10,3,)</f>
        <v>0</v>
      </c>
      <c r="F22" s="6" t="s">
        <v>354</v>
      </c>
      <c r="G22" s="6" t="s">
        <v>354</v>
      </c>
      <c r="H22" s="6" t="s">
        <v>354</v>
      </c>
      <c r="I22" s="6" t="s">
        <v>10</v>
      </c>
      <c r="J22" s="6" t="s">
        <v>11</v>
      </c>
      <c r="K22" s="6" t="s">
        <v>12</v>
      </c>
    </row>
    <row r="23" spans="1:11">
      <c r="A23" s="2"/>
      <c r="B23" s="2">
        <v>20</v>
      </c>
      <c r="C23" s="2">
        <v>2</v>
      </c>
      <c r="D23" s="2">
        <f>VLOOKUP($C23,DEFINES!$A$2:$C$10,2,)</f>
        <v>3</v>
      </c>
      <c r="E23" s="2">
        <f>VLOOKUP($C23,DEFINES!$A$2:$C$10,3,)</f>
        <v>0</v>
      </c>
      <c r="F23" s="6" t="s">
        <v>278</v>
      </c>
      <c r="G23" s="6" t="s">
        <v>278</v>
      </c>
      <c r="H23" s="6" t="s">
        <v>278</v>
      </c>
      <c r="I23" s="6" t="s">
        <v>10</v>
      </c>
      <c r="J23" s="6" t="s">
        <v>11</v>
      </c>
      <c r="K23" s="6" t="s">
        <v>12</v>
      </c>
    </row>
    <row r="24" spans="1:11">
      <c r="A24" s="2"/>
      <c r="B24" s="2">
        <v>21</v>
      </c>
      <c r="C24" s="2">
        <v>7</v>
      </c>
      <c r="D24" s="2">
        <f>VLOOKUP($C24,DEFINES!$A$2:$C$10,2,)</f>
        <v>1</v>
      </c>
      <c r="E24" s="2">
        <f>VLOOKUP($C24,DEFINES!$A$2:$C$10,3,)</f>
        <v>1</v>
      </c>
      <c r="F24" s="6" t="s">
        <v>6</v>
      </c>
      <c r="G24" s="6" t="s">
        <v>6</v>
      </c>
      <c r="H24" s="6" t="s">
        <v>6</v>
      </c>
      <c r="I24" s="6" t="s">
        <v>10</v>
      </c>
      <c r="J24" s="6" t="s">
        <v>11</v>
      </c>
      <c r="K24" s="6" t="s">
        <v>12</v>
      </c>
    </row>
    <row r="25" spans="1:11">
      <c r="A25" s="2"/>
      <c r="B25" s="2">
        <v>22</v>
      </c>
      <c r="C25" s="2">
        <v>7</v>
      </c>
      <c r="D25" s="2">
        <f>VLOOKUP($C25,DEFINES!$A$2:$C$10,2,)</f>
        <v>1</v>
      </c>
      <c r="E25" s="2">
        <f>VLOOKUP($C25,DEFINES!$A$2:$C$10,3,)</f>
        <v>1</v>
      </c>
      <c r="F25" s="6" t="s">
        <v>6</v>
      </c>
      <c r="G25" s="6" t="s">
        <v>6</v>
      </c>
      <c r="H25" s="6" t="s">
        <v>6</v>
      </c>
      <c r="I25" s="6" t="s">
        <v>10</v>
      </c>
      <c r="J25" s="6" t="s">
        <v>11</v>
      </c>
      <c r="K25" s="6" t="s">
        <v>12</v>
      </c>
    </row>
    <row r="26" spans="1:11">
      <c r="A26" s="2"/>
      <c r="B26" s="2">
        <v>23</v>
      </c>
      <c r="C26" s="2">
        <v>7</v>
      </c>
      <c r="D26" s="2">
        <f>VLOOKUP($C26,DEFINES!$A$2:$C$10,2,)</f>
        <v>1</v>
      </c>
      <c r="E26" s="2">
        <f>VLOOKUP($C26,DEFINES!$A$2:$C$10,3,)</f>
        <v>1</v>
      </c>
      <c r="F26" s="6" t="s">
        <v>6</v>
      </c>
      <c r="G26" s="6" t="s">
        <v>6</v>
      </c>
      <c r="H26" s="6" t="s">
        <v>6</v>
      </c>
      <c r="I26" s="6" t="s">
        <v>10</v>
      </c>
      <c r="J26" s="6" t="s">
        <v>11</v>
      </c>
      <c r="K26" s="6" t="s">
        <v>12</v>
      </c>
    </row>
    <row r="27" spans="1:11">
      <c r="A27" s="2"/>
      <c r="B27" s="2">
        <v>24</v>
      </c>
      <c r="C27" s="2">
        <v>7</v>
      </c>
      <c r="D27" s="2">
        <f>VLOOKUP($C27,DEFINES!$A$2:$C$10,2,)</f>
        <v>1</v>
      </c>
      <c r="E27" s="2">
        <f>VLOOKUP($C27,DEFINES!$A$2:$C$10,3,)</f>
        <v>1</v>
      </c>
      <c r="F27" s="6" t="s">
        <v>6</v>
      </c>
      <c r="G27" s="6" t="s">
        <v>6</v>
      </c>
      <c r="H27" s="6" t="s">
        <v>6</v>
      </c>
      <c r="I27" s="6" t="s">
        <v>10</v>
      </c>
      <c r="J27" s="6" t="s">
        <v>11</v>
      </c>
      <c r="K27" s="6" t="s">
        <v>12</v>
      </c>
    </row>
    <row r="28" spans="1:11">
      <c r="A28" s="2"/>
      <c r="B28" s="2">
        <v>25</v>
      </c>
      <c r="C28" s="2">
        <v>7</v>
      </c>
      <c r="D28" s="2">
        <f>VLOOKUP($C28,DEFINES!$A$2:$C$10,2,)</f>
        <v>1</v>
      </c>
      <c r="E28" s="2">
        <f>VLOOKUP($C28,DEFINES!$A$2:$C$10,3,)</f>
        <v>1</v>
      </c>
      <c r="F28" s="6" t="s">
        <v>6</v>
      </c>
      <c r="G28" s="6" t="s">
        <v>6</v>
      </c>
      <c r="H28" s="6" t="s">
        <v>6</v>
      </c>
      <c r="I28" s="6" t="s">
        <v>10</v>
      </c>
      <c r="J28" s="6" t="s">
        <v>11</v>
      </c>
      <c r="K28" s="6" t="s">
        <v>12</v>
      </c>
    </row>
  </sheetData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5">
    <tabColor rgb="FFFF0000"/>
  </sheetPr>
  <dimension ref="A1:K28"/>
  <sheetViews>
    <sheetView workbookViewId="0">
      <pane xSplit="5" ySplit="3" topLeftCell="F4" activePane="bottomRight" state="frozen"/>
      <selection activeCell="F43" sqref="F43"/>
      <selection pane="topRight" activeCell="F43" sqref="F43"/>
      <selection pane="bottomLeft" activeCell="F43" sqref="F43"/>
      <selection pane="bottomRight" activeCell="F32" sqref="F32"/>
    </sheetView>
  </sheetViews>
  <sheetFormatPr defaultColWidth="11.453125" defaultRowHeight="12.5" outlineLevelCol="1"/>
  <cols>
    <col min="3" max="5" width="11.453125" customWidth="1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53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10121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/>
      <c r="B3" s="5"/>
      <c r="C3" s="2" t="s">
        <v>2</v>
      </c>
      <c r="D3" s="2" t="s">
        <v>2</v>
      </c>
      <c r="E3" s="2" t="s">
        <v>2</v>
      </c>
      <c r="F3" s="3" t="s">
        <v>291</v>
      </c>
      <c r="G3" s="3" t="s">
        <v>291</v>
      </c>
      <c r="H3" s="3" t="s">
        <v>291</v>
      </c>
      <c r="I3" s="3" t="s">
        <v>290</v>
      </c>
      <c r="J3" s="3" t="s">
        <v>290</v>
      </c>
      <c r="K3" s="3" t="s">
        <v>290</v>
      </c>
    </row>
    <row r="4" spans="1:11">
      <c r="A4" s="2"/>
      <c r="B4" s="2">
        <v>1</v>
      </c>
      <c r="C4" s="2">
        <f>TCEVENTCLASS_ALARM</f>
        <v>7</v>
      </c>
      <c r="D4" s="2">
        <f>VLOOKUP($C4,DEFINES!$A$2:$C$10,2,)</f>
        <v>1</v>
      </c>
      <c r="E4" s="2">
        <f>VLOOKUP($C4,DEFINES!$A$2:$C$10,3,)</f>
        <v>1</v>
      </c>
      <c r="F4" s="3" t="s">
        <v>289</v>
      </c>
      <c r="G4" s="3" t="s">
        <v>289</v>
      </c>
      <c r="H4" s="3" t="s">
        <v>289</v>
      </c>
      <c r="I4" s="6" t="s">
        <v>10</v>
      </c>
      <c r="J4" s="6" t="s">
        <v>11</v>
      </c>
      <c r="K4" s="6" t="s">
        <v>12</v>
      </c>
    </row>
    <row r="5" spans="1:11">
      <c r="A5" s="2"/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3" t="s">
        <v>6</v>
      </c>
      <c r="G5" s="3" t="s">
        <v>6</v>
      </c>
      <c r="H5" s="3" t="s">
        <v>6</v>
      </c>
      <c r="I5" s="6" t="s">
        <v>10</v>
      </c>
      <c r="J5" s="6" t="s">
        <v>11</v>
      </c>
      <c r="K5" s="6" t="s">
        <v>12</v>
      </c>
    </row>
    <row r="6" spans="1:11">
      <c r="A6" s="2"/>
      <c r="B6" s="2">
        <v>3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3" t="s">
        <v>6</v>
      </c>
      <c r="G6" s="3" t="s">
        <v>6</v>
      </c>
      <c r="H6" s="3" t="s">
        <v>6</v>
      </c>
      <c r="I6" s="6" t="s">
        <v>10</v>
      </c>
      <c r="J6" s="6" t="s">
        <v>11</v>
      </c>
      <c r="K6" s="6" t="s">
        <v>12</v>
      </c>
    </row>
    <row r="7" spans="1:11">
      <c r="A7" s="2"/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3" t="s">
        <v>6</v>
      </c>
      <c r="G7" s="3" t="s">
        <v>6</v>
      </c>
      <c r="H7" s="3" t="s">
        <v>6</v>
      </c>
      <c r="I7" s="6" t="s">
        <v>10</v>
      </c>
      <c r="J7" s="6" t="s">
        <v>11</v>
      </c>
      <c r="K7" s="6" t="s">
        <v>12</v>
      </c>
    </row>
    <row r="8" spans="1:11">
      <c r="A8" s="2"/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3" t="s">
        <v>6</v>
      </c>
      <c r="G8" s="3" t="s">
        <v>6</v>
      </c>
      <c r="H8" s="3" t="s">
        <v>6</v>
      </c>
      <c r="I8" s="6" t="s">
        <v>10</v>
      </c>
      <c r="J8" s="6" t="s">
        <v>11</v>
      </c>
      <c r="K8" s="6" t="s">
        <v>12</v>
      </c>
    </row>
    <row r="9" spans="1:11">
      <c r="A9" s="2"/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3" t="s">
        <v>6</v>
      </c>
      <c r="G9" s="3" t="s">
        <v>6</v>
      </c>
      <c r="H9" s="3" t="s">
        <v>6</v>
      </c>
      <c r="I9" s="6" t="s">
        <v>10</v>
      </c>
      <c r="J9" s="6" t="s">
        <v>11</v>
      </c>
      <c r="K9" s="6" t="s">
        <v>12</v>
      </c>
    </row>
    <row r="10" spans="1:11">
      <c r="A10" s="2"/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6</v>
      </c>
      <c r="G10" s="3" t="s">
        <v>6</v>
      </c>
      <c r="H10" s="3" t="s">
        <v>6</v>
      </c>
      <c r="I10" s="6" t="s">
        <v>10</v>
      </c>
      <c r="J10" s="6" t="s">
        <v>11</v>
      </c>
      <c r="K10" s="6" t="s">
        <v>12</v>
      </c>
    </row>
    <row r="11" spans="1:11">
      <c r="A11" s="2"/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3" t="s">
        <v>6</v>
      </c>
      <c r="G11" s="3" t="s">
        <v>6</v>
      </c>
      <c r="H11" s="3" t="s">
        <v>6</v>
      </c>
      <c r="I11" s="6" t="s">
        <v>10</v>
      </c>
      <c r="J11" s="6" t="s">
        <v>11</v>
      </c>
      <c r="K11" s="6" t="s">
        <v>12</v>
      </c>
    </row>
    <row r="12" spans="1:11">
      <c r="A12" s="2"/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6</v>
      </c>
      <c r="G12" s="3" t="s">
        <v>6</v>
      </c>
      <c r="H12" s="3" t="s">
        <v>6</v>
      </c>
      <c r="I12" s="6" t="s">
        <v>10</v>
      </c>
      <c r="J12" s="6" t="s">
        <v>11</v>
      </c>
      <c r="K12" s="6" t="s">
        <v>12</v>
      </c>
    </row>
    <row r="13" spans="1:11">
      <c r="A13" s="5"/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6</v>
      </c>
      <c r="G13" s="3" t="s">
        <v>6</v>
      </c>
      <c r="H13" s="3" t="s">
        <v>6</v>
      </c>
      <c r="I13" s="6" t="s">
        <v>10</v>
      </c>
      <c r="J13" s="6" t="s">
        <v>11</v>
      </c>
      <c r="K13" s="6" t="s">
        <v>12</v>
      </c>
    </row>
    <row r="14" spans="1:11">
      <c r="A14" s="5"/>
      <c r="B14" s="2">
        <v>11</v>
      </c>
      <c r="C14" s="10">
        <v>7</v>
      </c>
      <c r="D14" s="10">
        <f>VLOOKUP($C14,DEFINES!$A$2:$C$10,2,)</f>
        <v>1</v>
      </c>
      <c r="E14" s="10">
        <f>VLOOKUP($C14,DEFINES!$A$2:$C$10,3,)</f>
        <v>1</v>
      </c>
      <c r="F14" s="3" t="s">
        <v>6</v>
      </c>
      <c r="G14" s="3" t="s">
        <v>6</v>
      </c>
      <c r="H14" s="3" t="s">
        <v>6</v>
      </c>
      <c r="I14" s="6" t="s">
        <v>10</v>
      </c>
      <c r="J14" s="6" t="s">
        <v>11</v>
      </c>
      <c r="K14" s="6" t="s">
        <v>12</v>
      </c>
    </row>
    <row r="15" spans="1:11">
      <c r="A15" s="5"/>
      <c r="B15" s="2">
        <v>12</v>
      </c>
      <c r="C15" s="2">
        <v>7</v>
      </c>
      <c r="D15" s="2">
        <f>VLOOKUP($C15,DEFINES!$A$2:$C$10,2,)</f>
        <v>1</v>
      </c>
      <c r="E15" s="2">
        <f>VLOOKUP($C15,DEFINES!$A$2:$C$10,3,)</f>
        <v>1</v>
      </c>
      <c r="F15" s="3" t="s">
        <v>6</v>
      </c>
      <c r="G15" s="3" t="s">
        <v>6</v>
      </c>
      <c r="H15" s="3" t="s">
        <v>6</v>
      </c>
      <c r="I15" s="6" t="s">
        <v>10</v>
      </c>
      <c r="J15" s="6" t="s">
        <v>11</v>
      </c>
      <c r="K15" s="6" t="s">
        <v>12</v>
      </c>
    </row>
    <row r="16" spans="1:11">
      <c r="A16" s="5"/>
      <c r="B16" s="2">
        <v>13</v>
      </c>
      <c r="C16" s="2">
        <v>7</v>
      </c>
      <c r="D16" s="2">
        <f>VLOOKUP($C16,DEFINES!$A$2:$C$10,2,)</f>
        <v>1</v>
      </c>
      <c r="E16" s="2">
        <f>VLOOKUP($C16,DEFINES!$A$2:$C$10,3,)</f>
        <v>1</v>
      </c>
      <c r="F16" s="3" t="s">
        <v>6</v>
      </c>
      <c r="G16" s="3" t="s">
        <v>6</v>
      </c>
      <c r="H16" s="3" t="s">
        <v>6</v>
      </c>
      <c r="I16" s="6" t="s">
        <v>10</v>
      </c>
      <c r="J16" s="6" t="s">
        <v>11</v>
      </c>
      <c r="K16" s="6" t="s">
        <v>12</v>
      </c>
    </row>
    <row r="17" spans="1:11">
      <c r="A17" s="5"/>
      <c r="B17" s="2">
        <v>14</v>
      </c>
      <c r="C17" s="2">
        <v>7</v>
      </c>
      <c r="D17" s="2">
        <f>VLOOKUP($C17,DEFINES!$A$2:$C$10,2,)</f>
        <v>1</v>
      </c>
      <c r="E17" s="2">
        <f>VLOOKUP($C17,DEFINES!$A$2:$C$10,3,)</f>
        <v>1</v>
      </c>
      <c r="F17" s="3" t="s">
        <v>6</v>
      </c>
      <c r="G17" s="3" t="s">
        <v>6</v>
      </c>
      <c r="H17" s="3" t="s">
        <v>6</v>
      </c>
      <c r="I17" s="6" t="s">
        <v>10</v>
      </c>
      <c r="J17" s="6" t="s">
        <v>11</v>
      </c>
      <c r="K17" s="6" t="s">
        <v>12</v>
      </c>
    </row>
    <row r="18" spans="1:11">
      <c r="A18" s="5"/>
      <c r="B18" s="2">
        <v>15</v>
      </c>
      <c r="C18" s="2">
        <v>7</v>
      </c>
      <c r="D18" s="2">
        <f>VLOOKUP($C18,DEFINES!$A$2:$C$10,2,)</f>
        <v>1</v>
      </c>
      <c r="E18" s="2">
        <f>VLOOKUP($C18,DEFINES!$A$2:$C$10,3,)</f>
        <v>1</v>
      </c>
      <c r="F18" s="3" t="s">
        <v>6</v>
      </c>
      <c r="G18" s="3" t="s">
        <v>6</v>
      </c>
      <c r="H18" s="3" t="s">
        <v>6</v>
      </c>
      <c r="I18" s="6" t="s">
        <v>10</v>
      </c>
      <c r="J18" s="6" t="s">
        <v>11</v>
      </c>
      <c r="K18" s="6" t="s">
        <v>12</v>
      </c>
    </row>
    <row r="19" spans="1:11">
      <c r="A19" s="5"/>
      <c r="B19" s="2">
        <v>16</v>
      </c>
      <c r="C19" s="2">
        <v>7</v>
      </c>
      <c r="D19" s="2">
        <f>VLOOKUP($C19,DEFINES!$A$2:$C$10,2,)</f>
        <v>1</v>
      </c>
      <c r="E19" s="2">
        <f>VLOOKUP($C19,DEFINES!$A$2:$C$10,3,)</f>
        <v>1</v>
      </c>
      <c r="F19" s="3" t="s">
        <v>6</v>
      </c>
      <c r="G19" s="3" t="s">
        <v>6</v>
      </c>
      <c r="H19" s="3" t="s">
        <v>6</v>
      </c>
      <c r="I19" s="6" t="s">
        <v>10</v>
      </c>
      <c r="J19" s="6" t="s">
        <v>11</v>
      </c>
      <c r="K19" s="6" t="s">
        <v>12</v>
      </c>
    </row>
    <row r="20" spans="1:11">
      <c r="A20" s="5"/>
      <c r="B20" s="2">
        <v>17</v>
      </c>
      <c r="C20" s="2">
        <v>7</v>
      </c>
      <c r="D20" s="2">
        <f>VLOOKUP($C20,DEFINES!$A$2:$C$10,2,)</f>
        <v>1</v>
      </c>
      <c r="E20" s="2">
        <f>VLOOKUP($C20,DEFINES!$A$2:$C$10,3,)</f>
        <v>1</v>
      </c>
      <c r="F20" s="3" t="s">
        <v>6</v>
      </c>
      <c r="G20" s="3" t="s">
        <v>6</v>
      </c>
      <c r="H20" s="3" t="s">
        <v>6</v>
      </c>
      <c r="I20" s="6" t="s">
        <v>10</v>
      </c>
      <c r="J20" s="6" t="s">
        <v>11</v>
      </c>
      <c r="K20" s="6" t="s">
        <v>12</v>
      </c>
    </row>
    <row r="21" spans="1:11">
      <c r="A21" s="5"/>
      <c r="B21" s="2">
        <v>18</v>
      </c>
      <c r="C21" s="2">
        <v>7</v>
      </c>
      <c r="D21" s="2">
        <f>VLOOKUP($C21,DEFINES!$A$2:$C$10,2,)</f>
        <v>1</v>
      </c>
      <c r="E21" s="2">
        <f>VLOOKUP($C21,DEFINES!$A$2:$C$10,3,)</f>
        <v>1</v>
      </c>
      <c r="F21" s="3" t="s">
        <v>6</v>
      </c>
      <c r="G21" s="3" t="s">
        <v>6</v>
      </c>
      <c r="H21" s="3" t="s">
        <v>6</v>
      </c>
      <c r="I21" s="6" t="s">
        <v>10</v>
      </c>
      <c r="J21" s="6" t="s">
        <v>11</v>
      </c>
      <c r="K21" s="6" t="s">
        <v>12</v>
      </c>
    </row>
    <row r="22" spans="1:11">
      <c r="A22" s="5"/>
      <c r="B22" s="2">
        <v>19</v>
      </c>
      <c r="C22" s="2">
        <v>7</v>
      </c>
      <c r="D22" s="2">
        <f>VLOOKUP($C22,DEFINES!$A$2:$C$10,2,)</f>
        <v>1</v>
      </c>
      <c r="E22" s="2">
        <f>VLOOKUP($C22,DEFINES!$A$2:$C$10,3,)</f>
        <v>1</v>
      </c>
      <c r="F22" s="3" t="s">
        <v>6</v>
      </c>
      <c r="G22" s="3" t="s">
        <v>6</v>
      </c>
      <c r="H22" s="3" t="s">
        <v>6</v>
      </c>
      <c r="I22" s="6" t="s">
        <v>10</v>
      </c>
      <c r="J22" s="6" t="s">
        <v>11</v>
      </c>
      <c r="K22" s="6" t="s">
        <v>12</v>
      </c>
    </row>
    <row r="23" spans="1:11">
      <c r="A23" s="5"/>
      <c r="B23" s="2">
        <v>20</v>
      </c>
      <c r="C23" s="2">
        <v>7</v>
      </c>
      <c r="D23" s="2">
        <f>VLOOKUP($C23,DEFINES!$A$2:$C$10,2,)</f>
        <v>1</v>
      </c>
      <c r="E23" s="2">
        <f>VLOOKUP($C23,DEFINES!$A$2:$C$10,3,)</f>
        <v>1</v>
      </c>
      <c r="F23" s="3" t="s">
        <v>288</v>
      </c>
      <c r="G23" s="3" t="s">
        <v>288</v>
      </c>
      <c r="H23" s="3" t="s">
        <v>288</v>
      </c>
      <c r="I23" s="6" t="s">
        <v>10</v>
      </c>
      <c r="J23" s="6" t="s">
        <v>11</v>
      </c>
      <c r="K23" s="6" t="s">
        <v>12</v>
      </c>
    </row>
    <row r="24" spans="1:11">
      <c r="A24" s="5"/>
      <c r="B24" s="2">
        <v>21</v>
      </c>
      <c r="C24" s="2">
        <v>2</v>
      </c>
      <c r="D24" s="2">
        <f>VLOOKUP($C24,DEFINES!$A$2:$C$10,2,)</f>
        <v>3</v>
      </c>
      <c r="E24" s="2">
        <f>VLOOKUP($C24,DEFINES!$A$2:$C$10,3,)</f>
        <v>0</v>
      </c>
      <c r="F24" s="3" t="s">
        <v>287</v>
      </c>
      <c r="G24" s="3" t="s">
        <v>287</v>
      </c>
      <c r="H24" s="3" t="s">
        <v>287</v>
      </c>
      <c r="I24" s="6" t="s">
        <v>10</v>
      </c>
      <c r="J24" s="6" t="s">
        <v>11</v>
      </c>
      <c r="K24" s="6" t="s">
        <v>12</v>
      </c>
    </row>
    <row r="25" spans="1:11">
      <c r="A25" s="5"/>
      <c r="B25" s="2">
        <v>22</v>
      </c>
      <c r="C25" s="2">
        <v>2</v>
      </c>
      <c r="D25" s="2">
        <f>VLOOKUP($C25,DEFINES!$A$2:$C$10,2,)</f>
        <v>3</v>
      </c>
      <c r="E25" s="2">
        <f>VLOOKUP($C25,DEFINES!$A$2:$C$10,3,)</f>
        <v>0</v>
      </c>
      <c r="F25" s="3" t="s">
        <v>286</v>
      </c>
      <c r="G25" s="3" t="s">
        <v>286</v>
      </c>
      <c r="H25" s="3" t="s">
        <v>286</v>
      </c>
      <c r="I25" s="6" t="s">
        <v>10</v>
      </c>
      <c r="J25" s="6" t="s">
        <v>11</v>
      </c>
      <c r="K25" s="6" t="s">
        <v>12</v>
      </c>
    </row>
    <row r="26" spans="1:11">
      <c r="A26" s="5"/>
      <c r="B26" s="2">
        <v>23</v>
      </c>
      <c r="C26" s="2">
        <v>7</v>
      </c>
      <c r="D26" s="2">
        <f>VLOOKUP($C26,DEFINES!$A$2:$C$10,2,)</f>
        <v>1</v>
      </c>
      <c r="E26" s="2">
        <f>VLOOKUP($C26,DEFINES!$A$2:$C$10,3,)</f>
        <v>1</v>
      </c>
      <c r="F26" s="3" t="s">
        <v>6</v>
      </c>
      <c r="G26" s="3" t="s">
        <v>6</v>
      </c>
      <c r="H26" s="3" t="s">
        <v>6</v>
      </c>
      <c r="I26" s="6" t="s">
        <v>10</v>
      </c>
      <c r="J26" s="6" t="s">
        <v>11</v>
      </c>
      <c r="K26" s="6" t="s">
        <v>12</v>
      </c>
    </row>
    <row r="27" spans="1:11">
      <c r="A27" s="5"/>
      <c r="B27" s="2">
        <v>24</v>
      </c>
      <c r="C27" s="2">
        <v>7</v>
      </c>
      <c r="D27" s="2">
        <f>VLOOKUP($C27,DEFINES!$A$2:$C$10,2,)</f>
        <v>1</v>
      </c>
      <c r="E27" s="2">
        <f>VLOOKUP($C27,DEFINES!$A$2:$C$10,3,)</f>
        <v>1</v>
      </c>
      <c r="F27" s="3" t="s">
        <v>6</v>
      </c>
      <c r="G27" s="3" t="s">
        <v>6</v>
      </c>
      <c r="H27" s="3" t="s">
        <v>6</v>
      </c>
      <c r="I27" s="6" t="s">
        <v>10</v>
      </c>
      <c r="J27" s="6" t="s">
        <v>11</v>
      </c>
      <c r="K27" s="6" t="s">
        <v>12</v>
      </c>
    </row>
    <row r="28" spans="1:11">
      <c r="A28" s="5"/>
      <c r="B28" s="2">
        <v>25</v>
      </c>
      <c r="C28" s="2">
        <v>7</v>
      </c>
      <c r="D28" s="2">
        <f>VLOOKUP($C28,DEFINES!$A$2:$C$10,2,)</f>
        <v>1</v>
      </c>
      <c r="E28" s="2">
        <f>VLOOKUP($C28,DEFINES!$A$2:$C$10,3,)</f>
        <v>1</v>
      </c>
      <c r="F28" s="3" t="s">
        <v>6</v>
      </c>
      <c r="G28" s="3" t="s">
        <v>6</v>
      </c>
      <c r="H28" s="3" t="s">
        <v>6</v>
      </c>
      <c r="I28" s="6" t="s">
        <v>10</v>
      </c>
      <c r="J28" s="6" t="s">
        <v>11</v>
      </c>
      <c r="K28" s="6" t="s">
        <v>12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33">
    <tabColor theme="1"/>
  </sheetPr>
  <dimension ref="A1:K13"/>
  <sheetViews>
    <sheetView workbookViewId="0">
      <selection activeCell="C4" sqref="C4:E13"/>
    </sheetView>
  </sheetViews>
  <sheetFormatPr defaultColWidth="11.453125" defaultRowHeight="12.5" outlineLevelCol="1"/>
  <cols>
    <col min="3" max="5" width="11.453125" customWidth="1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100000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8"/>
      <c r="B3" s="5"/>
      <c r="C3" s="2" t="s">
        <v>2</v>
      </c>
      <c r="D3" s="2" t="s">
        <v>2</v>
      </c>
      <c r="E3" s="2" t="s">
        <v>2</v>
      </c>
      <c r="F3" s="6" t="s">
        <v>320</v>
      </c>
      <c r="G3" s="6" t="s">
        <v>319</v>
      </c>
      <c r="H3" s="6" t="s">
        <v>319</v>
      </c>
      <c r="I3" s="7" t="s">
        <v>318</v>
      </c>
      <c r="J3" s="7" t="s">
        <v>317</v>
      </c>
      <c r="K3" s="19" t="s">
        <v>316</v>
      </c>
    </row>
    <row r="4" spans="1:11">
      <c r="A4" s="2"/>
      <c r="B4" s="2">
        <v>1</v>
      </c>
      <c r="C4" s="2">
        <v>4</v>
      </c>
      <c r="D4" s="2">
        <f>VLOOKUP($C4,DEFINES!$A$2:$C$10,2,)</f>
        <v>3</v>
      </c>
      <c r="E4" s="2">
        <f>VLOOKUP($C4,DEFINES!$A$2:$C$10,3,)</f>
        <v>0</v>
      </c>
      <c r="F4" s="6" t="s">
        <v>315</v>
      </c>
      <c r="G4" s="6" t="s">
        <v>314</v>
      </c>
      <c r="H4" s="6" t="s">
        <v>314</v>
      </c>
      <c r="I4" s="6" t="s">
        <v>10</v>
      </c>
      <c r="J4" s="6" t="s">
        <v>11</v>
      </c>
      <c r="K4" s="6" t="s">
        <v>12</v>
      </c>
    </row>
    <row r="5" spans="1:11">
      <c r="A5" s="2"/>
      <c r="B5" s="2">
        <v>2</v>
      </c>
      <c r="C5" s="2">
        <v>4</v>
      </c>
      <c r="D5" s="2">
        <f>VLOOKUP($C5,DEFINES!$A$2:$C$10,2,)</f>
        <v>3</v>
      </c>
      <c r="E5" s="2">
        <f>VLOOKUP($C5,DEFINES!$A$2:$C$10,3,)</f>
        <v>0</v>
      </c>
      <c r="F5" s="6" t="s">
        <v>313</v>
      </c>
      <c r="G5" s="6" t="s">
        <v>312</v>
      </c>
      <c r="H5" s="6" t="s">
        <v>312</v>
      </c>
      <c r="I5" s="6" t="s">
        <v>10</v>
      </c>
      <c r="J5" s="6" t="s">
        <v>11</v>
      </c>
      <c r="K5" s="6" t="s">
        <v>12</v>
      </c>
    </row>
    <row r="6" spans="1:11">
      <c r="A6" s="2"/>
      <c r="B6" s="2">
        <v>3</v>
      </c>
      <c r="C6" s="2">
        <v>4</v>
      </c>
      <c r="D6" s="2">
        <f>VLOOKUP($C6,DEFINES!$A$2:$C$10,2,)</f>
        <v>3</v>
      </c>
      <c r="E6" s="2">
        <f>VLOOKUP($C6,DEFINES!$A$2:$C$10,3,)</f>
        <v>0</v>
      </c>
      <c r="F6" s="6" t="s">
        <v>311</v>
      </c>
      <c r="G6" s="6" t="s">
        <v>310</v>
      </c>
      <c r="H6" s="6" t="s">
        <v>310</v>
      </c>
      <c r="I6" s="6" t="s">
        <v>10</v>
      </c>
      <c r="J6" s="6" t="s">
        <v>11</v>
      </c>
      <c r="K6" s="6" t="s">
        <v>12</v>
      </c>
    </row>
    <row r="7" spans="1:11">
      <c r="A7" s="2"/>
      <c r="B7" s="2">
        <v>4</v>
      </c>
      <c r="C7" s="2">
        <v>4</v>
      </c>
      <c r="D7" s="2">
        <f>VLOOKUP($C7,DEFINES!$A$2:$C$10,2,)</f>
        <v>3</v>
      </c>
      <c r="E7" s="2">
        <f>VLOOKUP($C7,DEFINES!$A$2:$C$10,3,)</f>
        <v>0</v>
      </c>
      <c r="F7" s="6" t="s">
        <v>309</v>
      </c>
      <c r="G7" s="6" t="s">
        <v>308</v>
      </c>
      <c r="H7" s="6" t="s">
        <v>308</v>
      </c>
      <c r="I7" s="6" t="s">
        <v>10</v>
      </c>
      <c r="J7" s="6" t="s">
        <v>11</v>
      </c>
      <c r="K7" s="6" t="s">
        <v>12</v>
      </c>
    </row>
    <row r="8" spans="1:11">
      <c r="A8" s="2"/>
      <c r="B8" s="2">
        <v>5</v>
      </c>
      <c r="C8" s="2">
        <v>4</v>
      </c>
      <c r="D8" s="2">
        <f>VLOOKUP($C8,DEFINES!$A$2:$C$10,2,)</f>
        <v>3</v>
      </c>
      <c r="E8" s="2">
        <f>VLOOKUP($C8,DEFINES!$A$2:$C$10,3,)</f>
        <v>0</v>
      </c>
      <c r="F8" s="6" t="s">
        <v>307</v>
      </c>
      <c r="G8" s="6" t="s">
        <v>306</v>
      </c>
      <c r="H8" s="6" t="s">
        <v>306</v>
      </c>
      <c r="I8" s="6" t="s">
        <v>10</v>
      </c>
      <c r="J8" s="6" t="s">
        <v>11</v>
      </c>
      <c r="K8" s="6" t="s">
        <v>12</v>
      </c>
    </row>
    <row r="9" spans="1:11">
      <c r="A9" s="2"/>
      <c r="B9" s="2">
        <v>6</v>
      </c>
      <c r="C9" s="2">
        <v>4</v>
      </c>
      <c r="D9" s="2">
        <f>VLOOKUP($C9,DEFINES!$A$2:$C$10,2,)</f>
        <v>3</v>
      </c>
      <c r="E9" s="2">
        <f>VLOOKUP($C9,DEFINES!$A$2:$C$10,3,)</f>
        <v>0</v>
      </c>
      <c r="F9" s="6" t="s">
        <v>305</v>
      </c>
      <c r="G9" s="6" t="s">
        <v>304</v>
      </c>
      <c r="H9" s="6" t="s">
        <v>304</v>
      </c>
      <c r="I9" s="6" t="s">
        <v>10</v>
      </c>
      <c r="J9" s="6" t="s">
        <v>11</v>
      </c>
      <c r="K9" s="6" t="s">
        <v>12</v>
      </c>
    </row>
    <row r="10" spans="1:11">
      <c r="A10" s="2"/>
      <c r="B10" s="2">
        <v>7</v>
      </c>
      <c r="C10" s="2">
        <v>4</v>
      </c>
      <c r="D10" s="2">
        <f>VLOOKUP($C10,DEFINES!$A$2:$C$10,2,)</f>
        <v>3</v>
      </c>
      <c r="E10" s="2">
        <f>VLOOKUP($C10,DEFINES!$A$2:$C$10,3,)</f>
        <v>0</v>
      </c>
      <c r="F10" s="6" t="s">
        <v>303</v>
      </c>
      <c r="G10" s="6" t="s">
        <v>302</v>
      </c>
      <c r="H10" s="6" t="s">
        <v>302</v>
      </c>
      <c r="I10" s="6" t="s">
        <v>10</v>
      </c>
      <c r="J10" s="6" t="s">
        <v>11</v>
      </c>
      <c r="K10" s="6" t="s">
        <v>12</v>
      </c>
    </row>
    <row r="11" spans="1:11">
      <c r="A11" s="2"/>
      <c r="B11" s="2">
        <v>8</v>
      </c>
      <c r="C11" s="2">
        <v>4</v>
      </c>
      <c r="D11" s="2">
        <f>VLOOKUP($C11,DEFINES!$A$2:$C$10,2,)</f>
        <v>3</v>
      </c>
      <c r="E11" s="2">
        <f>VLOOKUP($C11,DEFINES!$A$2:$C$10,3,)</f>
        <v>0</v>
      </c>
      <c r="F11" s="6" t="s">
        <v>301</v>
      </c>
      <c r="G11" s="6" t="s">
        <v>300</v>
      </c>
      <c r="H11" s="6" t="s">
        <v>300</v>
      </c>
      <c r="I11" s="6" t="s">
        <v>10</v>
      </c>
      <c r="J11" s="6" t="s">
        <v>11</v>
      </c>
      <c r="K11" s="6" t="s">
        <v>12</v>
      </c>
    </row>
    <row r="12" spans="1:11">
      <c r="A12" s="2"/>
      <c r="B12" s="2">
        <v>9</v>
      </c>
      <c r="C12" s="2">
        <v>4</v>
      </c>
      <c r="D12" s="2">
        <f>VLOOKUP($C12,DEFINES!$A$2:$C$10,2,)</f>
        <v>3</v>
      </c>
      <c r="E12" s="2">
        <f>VLOOKUP($C12,DEFINES!$A$2:$C$10,3,)</f>
        <v>0</v>
      </c>
      <c r="F12" s="6" t="s">
        <v>299</v>
      </c>
      <c r="G12" s="6" t="s">
        <v>298</v>
      </c>
      <c r="H12" s="6" t="s">
        <v>298</v>
      </c>
      <c r="I12" s="6" t="s">
        <v>10</v>
      </c>
      <c r="J12" s="6" t="s">
        <v>11</v>
      </c>
      <c r="K12" s="6" t="s">
        <v>12</v>
      </c>
    </row>
    <row r="13" spans="1:11">
      <c r="A13" s="5"/>
      <c r="B13" s="2">
        <v>10</v>
      </c>
      <c r="C13" s="2">
        <v>4</v>
      </c>
      <c r="D13" s="2">
        <f>VLOOKUP($C13,DEFINES!$A$2:$C$10,2,)</f>
        <v>3</v>
      </c>
      <c r="E13" s="2">
        <f>VLOOKUP($C13,DEFINES!$A$2:$C$10,3,)</f>
        <v>0</v>
      </c>
      <c r="F13" s="6" t="s">
        <v>297</v>
      </c>
      <c r="G13" s="3" t="s">
        <v>296</v>
      </c>
      <c r="H13" s="3" t="s">
        <v>296</v>
      </c>
      <c r="I13" s="6" t="s">
        <v>10</v>
      </c>
      <c r="J13" s="6" t="s">
        <v>11</v>
      </c>
      <c r="K13" s="6" t="s">
        <v>12</v>
      </c>
    </row>
  </sheetData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34">
    <tabColor theme="1"/>
  </sheetPr>
  <dimension ref="A1:K14"/>
  <sheetViews>
    <sheetView workbookViewId="0">
      <pane xSplit="5" ySplit="3" topLeftCell="F4" activePane="bottomRight" state="frozen"/>
      <selection activeCell="F57" sqref="F57"/>
      <selection pane="topRight" activeCell="F57" sqref="F57"/>
      <selection pane="bottomLeft" activeCell="F57" sqref="F57"/>
      <selection pane="bottomRight" activeCell="D17" sqref="D17"/>
    </sheetView>
  </sheetViews>
  <sheetFormatPr defaultColWidth="11.453125" defaultRowHeight="12.5" outlineLevelCol="1"/>
  <cols>
    <col min="3" max="5" width="11.453125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100001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/>
      <c r="B3" s="5"/>
      <c r="C3" s="2" t="s">
        <v>2</v>
      </c>
      <c r="D3" s="2" t="s">
        <v>2</v>
      </c>
      <c r="E3" s="2" t="s">
        <v>2</v>
      </c>
      <c r="F3" s="6" t="s">
        <v>24</v>
      </c>
      <c r="G3" s="6" t="s">
        <v>25</v>
      </c>
      <c r="H3" s="6" t="s">
        <v>25</v>
      </c>
      <c r="I3" s="5" t="s">
        <v>26</v>
      </c>
      <c r="J3" s="5" t="s">
        <v>27</v>
      </c>
      <c r="K3" s="5" t="s">
        <v>28</v>
      </c>
    </row>
    <row r="4" spans="1:11">
      <c r="A4" s="2"/>
      <c r="B4" s="2">
        <v>0</v>
      </c>
      <c r="C4" s="2">
        <v>7</v>
      </c>
      <c r="D4" s="2">
        <f>VLOOKUP($C4,DEFINES!$A$2:$C$10,2,)</f>
        <v>1</v>
      </c>
      <c r="E4" s="2">
        <f>VLOOKUP($C4,DEFINES!$A$2:$C$10,3,)</f>
        <v>1</v>
      </c>
      <c r="F4" s="3" t="s">
        <v>6</v>
      </c>
      <c r="G4" s="3" t="s">
        <v>6</v>
      </c>
      <c r="H4" s="3" t="s">
        <v>6</v>
      </c>
      <c r="I4" s="6" t="s">
        <v>10</v>
      </c>
      <c r="J4" s="6" t="s">
        <v>11</v>
      </c>
      <c r="K4" s="6" t="s">
        <v>12</v>
      </c>
    </row>
    <row r="5" spans="1:11">
      <c r="A5" s="2"/>
      <c r="B5" s="2">
        <v>1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6" t="s">
        <v>60</v>
      </c>
      <c r="G5" s="3" t="s">
        <v>169</v>
      </c>
      <c r="H5" s="3" t="s">
        <v>169</v>
      </c>
      <c r="I5" s="6" t="s">
        <v>10</v>
      </c>
      <c r="J5" s="6" t="s">
        <v>11</v>
      </c>
      <c r="K5" s="6" t="s">
        <v>12</v>
      </c>
    </row>
    <row r="6" spans="1:11">
      <c r="A6" s="2"/>
      <c r="B6" s="2">
        <v>2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3" t="s">
        <v>76</v>
      </c>
      <c r="G6" s="3" t="s">
        <v>170</v>
      </c>
      <c r="H6" s="3" t="s">
        <v>170</v>
      </c>
      <c r="I6" s="6" t="s">
        <v>10</v>
      </c>
      <c r="J6" s="6" t="s">
        <v>11</v>
      </c>
      <c r="K6" s="6" t="s">
        <v>12</v>
      </c>
    </row>
    <row r="7" spans="1:11">
      <c r="A7" s="2"/>
      <c r="B7" s="2">
        <v>3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3" t="s">
        <v>75</v>
      </c>
      <c r="G7" s="3" t="s">
        <v>171</v>
      </c>
      <c r="H7" s="3" t="s">
        <v>171</v>
      </c>
      <c r="I7" s="6" t="s">
        <v>10</v>
      </c>
      <c r="J7" s="6" t="s">
        <v>11</v>
      </c>
      <c r="K7" s="6" t="s">
        <v>12</v>
      </c>
    </row>
    <row r="8" spans="1:11">
      <c r="A8" s="2"/>
      <c r="B8" s="2">
        <v>4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3" t="s">
        <v>61</v>
      </c>
      <c r="G8" s="3" t="s">
        <v>172</v>
      </c>
      <c r="H8" s="3" t="s">
        <v>172</v>
      </c>
      <c r="I8" s="6" t="s">
        <v>10</v>
      </c>
      <c r="J8" s="6" t="s">
        <v>11</v>
      </c>
      <c r="K8" s="6" t="s">
        <v>12</v>
      </c>
    </row>
    <row r="9" spans="1:11">
      <c r="A9" s="2"/>
      <c r="B9" s="2">
        <v>5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3" t="s">
        <v>62</v>
      </c>
      <c r="G9" s="3" t="s">
        <v>175</v>
      </c>
      <c r="H9" s="3" t="s">
        <v>175</v>
      </c>
      <c r="I9" s="6" t="s">
        <v>10</v>
      </c>
      <c r="J9" s="6" t="s">
        <v>11</v>
      </c>
      <c r="K9" s="6" t="s">
        <v>12</v>
      </c>
    </row>
    <row r="10" spans="1:11">
      <c r="A10" s="2"/>
      <c r="B10" s="2">
        <v>6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6</v>
      </c>
      <c r="G10" s="3" t="s">
        <v>6</v>
      </c>
      <c r="H10" s="3" t="s">
        <v>6</v>
      </c>
      <c r="I10" s="6" t="s">
        <v>10</v>
      </c>
      <c r="J10" s="6" t="s">
        <v>11</v>
      </c>
      <c r="K10" s="6" t="s">
        <v>12</v>
      </c>
    </row>
    <row r="11" spans="1:11">
      <c r="A11" s="2"/>
      <c r="B11" s="2">
        <v>7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3" t="s">
        <v>6</v>
      </c>
      <c r="G11" s="3" t="s">
        <v>6</v>
      </c>
      <c r="H11" s="3" t="s">
        <v>6</v>
      </c>
      <c r="I11" s="6" t="s">
        <v>10</v>
      </c>
      <c r="J11" s="6" t="s">
        <v>11</v>
      </c>
      <c r="K11" s="6" t="s">
        <v>12</v>
      </c>
    </row>
    <row r="12" spans="1:11">
      <c r="A12" s="2"/>
      <c r="B12" s="2">
        <v>8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6</v>
      </c>
      <c r="G12" s="3" t="s">
        <v>6</v>
      </c>
      <c r="H12" s="3" t="s">
        <v>6</v>
      </c>
      <c r="I12" s="6" t="s">
        <v>10</v>
      </c>
      <c r="J12" s="6" t="s">
        <v>11</v>
      </c>
      <c r="K12" s="6" t="s">
        <v>12</v>
      </c>
    </row>
    <row r="13" spans="1:11">
      <c r="A13" s="2"/>
      <c r="B13" s="2">
        <v>9</v>
      </c>
      <c r="C13" s="2">
        <v>6</v>
      </c>
      <c r="D13" s="2">
        <f>VLOOKUP($C13,DEFINES!$A$2:$C$10,2,)</f>
        <v>2</v>
      </c>
      <c r="E13" s="2">
        <f>VLOOKUP($C13,DEFINES!$A$2:$C$10,3,)</f>
        <v>1</v>
      </c>
      <c r="F13" s="3" t="s">
        <v>64</v>
      </c>
      <c r="G13" s="3" t="s">
        <v>173</v>
      </c>
      <c r="H13" s="3" t="s">
        <v>173</v>
      </c>
      <c r="I13" s="6" t="s">
        <v>10</v>
      </c>
      <c r="J13" s="6" t="s">
        <v>11</v>
      </c>
      <c r="K13" s="6" t="s">
        <v>12</v>
      </c>
    </row>
    <row r="14" spans="1:11">
      <c r="A14" s="5"/>
      <c r="B14" s="2">
        <v>10</v>
      </c>
      <c r="C14" s="2">
        <v>6</v>
      </c>
      <c r="D14" s="2">
        <f>VLOOKUP($C14,DEFINES!$A$2:$C$10,2,)</f>
        <v>2</v>
      </c>
      <c r="E14" s="2">
        <f>VLOOKUP($C14,DEFINES!$A$2:$C$10,3,)</f>
        <v>1</v>
      </c>
      <c r="F14" s="3" t="s">
        <v>63</v>
      </c>
      <c r="G14" s="3" t="s">
        <v>174</v>
      </c>
      <c r="H14" s="3" t="s">
        <v>174</v>
      </c>
      <c r="I14" s="6" t="s">
        <v>10</v>
      </c>
      <c r="J14" s="6" t="s">
        <v>11</v>
      </c>
      <c r="K14" s="6" t="s">
        <v>12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9">
    <tabColor theme="1"/>
  </sheetPr>
  <dimension ref="A1:K55"/>
  <sheetViews>
    <sheetView zoomScaleNormal="100" workbookViewId="0">
      <pane xSplit="2" ySplit="2" topLeftCell="E3" activePane="bottomRight" state="frozen"/>
      <selection activeCell="G38" sqref="G38:G39"/>
      <selection pane="topRight" activeCell="G38" sqref="G38:G39"/>
      <selection pane="bottomLeft" activeCell="G38" sqref="G38:G39"/>
      <selection pane="bottomRight" activeCell="H9" sqref="H9"/>
    </sheetView>
  </sheetViews>
  <sheetFormatPr defaultColWidth="11.453125" defaultRowHeight="12.5" outlineLevelCol="1"/>
  <cols>
    <col min="3" max="5" width="11.453125" customWidth="1" outlineLevel="1"/>
    <col min="6" max="6" width="92.453125" customWidth="1"/>
    <col min="7" max="7" width="89.81640625" customWidth="1"/>
    <col min="8" max="11" width="60.7265625" customWidth="1"/>
  </cols>
  <sheetData>
    <row r="1" spans="1:11" ht="12.75" customHeight="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 ht="12.75" customHeight="1">
      <c r="A2" s="2">
        <v>100300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 ht="12.75" customHeight="1">
      <c r="A3" s="2">
        <v>100301</v>
      </c>
      <c r="B3" s="5"/>
      <c r="C3" s="2" t="s">
        <v>2</v>
      </c>
      <c r="D3" s="2" t="s">
        <v>2</v>
      </c>
      <c r="E3" s="2" t="s">
        <v>2</v>
      </c>
      <c r="F3" s="6" t="s">
        <v>442</v>
      </c>
      <c r="G3" s="6" t="s">
        <v>441</v>
      </c>
      <c r="H3" s="28" t="s">
        <v>220</v>
      </c>
      <c r="I3" s="7" t="s">
        <v>18</v>
      </c>
      <c r="J3" s="7" t="s">
        <v>19</v>
      </c>
      <c r="K3" s="7" t="s">
        <v>20</v>
      </c>
    </row>
    <row r="4" spans="1:11" ht="12.75" customHeight="1">
      <c r="A4" s="2">
        <v>100302</v>
      </c>
      <c r="B4" s="2">
        <v>1</v>
      </c>
      <c r="C4" s="2">
        <v>7</v>
      </c>
      <c r="D4" s="2">
        <f>VLOOKUP($C4,DEFINES!$A$2:$C$10,2,)</f>
        <v>1</v>
      </c>
      <c r="E4" s="2">
        <f>VLOOKUP($C4,DEFINES!$A$2:$C$10,3,)</f>
        <v>1</v>
      </c>
      <c r="F4" s="3" t="s">
        <v>236</v>
      </c>
      <c r="G4" s="3" t="s">
        <v>236</v>
      </c>
      <c r="H4" s="6" t="s">
        <v>548</v>
      </c>
      <c r="I4" s="6" t="s">
        <v>10</v>
      </c>
      <c r="J4" s="6" t="s">
        <v>11</v>
      </c>
      <c r="K4" s="6" t="s">
        <v>12</v>
      </c>
    </row>
    <row r="5" spans="1:11" ht="12.75" customHeight="1">
      <c r="A5" s="2">
        <v>100303</v>
      </c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3" t="s">
        <v>235</v>
      </c>
      <c r="G5" s="3" t="s">
        <v>235</v>
      </c>
      <c r="H5" s="6" t="s">
        <v>549</v>
      </c>
      <c r="I5" s="6" t="s">
        <v>10</v>
      </c>
      <c r="J5" s="6" t="s">
        <v>11</v>
      </c>
      <c r="K5" s="6" t="s">
        <v>12</v>
      </c>
    </row>
    <row r="6" spans="1:11" ht="12.75" customHeight="1">
      <c r="A6" s="2">
        <v>100304</v>
      </c>
      <c r="B6" s="2">
        <v>3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6" t="s">
        <v>443</v>
      </c>
      <c r="G6" s="3" t="s">
        <v>234</v>
      </c>
      <c r="H6" s="6" t="s">
        <v>550</v>
      </c>
      <c r="I6" s="6" t="s">
        <v>10</v>
      </c>
      <c r="J6" s="6" t="s">
        <v>11</v>
      </c>
      <c r="K6" s="6" t="s">
        <v>12</v>
      </c>
    </row>
    <row r="7" spans="1:11" ht="12.75" customHeight="1">
      <c r="A7" s="2">
        <v>100305</v>
      </c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6" t="s">
        <v>439</v>
      </c>
      <c r="G7" s="6" t="s">
        <v>439</v>
      </c>
      <c r="H7" s="6" t="s">
        <v>551</v>
      </c>
      <c r="I7" s="6" t="s">
        <v>10</v>
      </c>
      <c r="J7" s="6" t="s">
        <v>11</v>
      </c>
      <c r="K7" s="6" t="s">
        <v>12</v>
      </c>
    </row>
    <row r="8" spans="1:11" ht="12.75" customHeight="1">
      <c r="A8" s="2">
        <v>100306</v>
      </c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6" t="s">
        <v>444</v>
      </c>
      <c r="G8" s="6" t="s">
        <v>440</v>
      </c>
      <c r="H8" s="6" t="s">
        <v>552</v>
      </c>
      <c r="I8" s="6" t="s">
        <v>10</v>
      </c>
      <c r="J8" s="6" t="s">
        <v>11</v>
      </c>
      <c r="K8" s="6" t="s">
        <v>12</v>
      </c>
    </row>
    <row r="9" spans="1:11" ht="12.75" customHeight="1">
      <c r="A9" s="2">
        <v>100307</v>
      </c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3" t="s">
        <v>233</v>
      </c>
      <c r="G9" s="3" t="s">
        <v>233</v>
      </c>
      <c r="H9" s="3" t="s">
        <v>233</v>
      </c>
      <c r="I9" s="6" t="s">
        <v>10</v>
      </c>
      <c r="J9" s="6" t="s">
        <v>11</v>
      </c>
      <c r="K9" s="6" t="s">
        <v>12</v>
      </c>
    </row>
    <row r="10" spans="1:11" ht="12.75" customHeight="1">
      <c r="A10" s="2">
        <v>100308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6" t="s">
        <v>609</v>
      </c>
      <c r="G10" s="6" t="s">
        <v>609</v>
      </c>
      <c r="H10" s="6" t="s">
        <v>609</v>
      </c>
      <c r="I10" s="6" t="s">
        <v>10</v>
      </c>
      <c r="J10" s="6" t="s">
        <v>11</v>
      </c>
      <c r="K10" s="6" t="s">
        <v>12</v>
      </c>
    </row>
    <row r="11" spans="1:11" ht="12.75" customHeight="1">
      <c r="A11" s="2">
        <v>100309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6" t="s">
        <v>610</v>
      </c>
      <c r="G11" s="6" t="s">
        <v>610</v>
      </c>
      <c r="H11" s="6" t="s">
        <v>610</v>
      </c>
      <c r="I11" s="6" t="s">
        <v>10</v>
      </c>
      <c r="J11" s="6" t="s">
        <v>11</v>
      </c>
      <c r="K11" s="6" t="s">
        <v>12</v>
      </c>
    </row>
    <row r="12" spans="1:11" ht="12.75" customHeight="1">
      <c r="A12" s="2"/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233</v>
      </c>
      <c r="G12" s="3" t="s">
        <v>233</v>
      </c>
      <c r="H12" s="3" t="s">
        <v>233</v>
      </c>
      <c r="I12" s="6" t="s">
        <v>10</v>
      </c>
      <c r="J12" s="6" t="s">
        <v>11</v>
      </c>
      <c r="K12" s="6" t="s">
        <v>12</v>
      </c>
    </row>
    <row r="13" spans="1:11" ht="12.75" customHeight="1">
      <c r="A13" s="2"/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233</v>
      </c>
      <c r="G13" s="3" t="s">
        <v>233</v>
      </c>
      <c r="H13" s="3" t="s">
        <v>233</v>
      </c>
      <c r="I13" s="6" t="s">
        <v>10</v>
      </c>
      <c r="J13" s="6" t="s">
        <v>11</v>
      </c>
      <c r="K13" s="6" t="s">
        <v>12</v>
      </c>
    </row>
    <row r="14" spans="1:11" ht="12.75" customHeight="1">
      <c r="A14" s="10"/>
      <c r="B14" s="10">
        <v>11</v>
      </c>
      <c r="C14" s="10">
        <v>7</v>
      </c>
      <c r="D14" s="2">
        <f>VLOOKUP($C14,DEFINES!$A$2:$C$10,2,)</f>
        <v>1</v>
      </c>
      <c r="E14" s="2">
        <f>VLOOKUP($C14,DEFINES!$A$2:$C$10,3,)</f>
        <v>1</v>
      </c>
      <c r="F14" s="3" t="s">
        <v>168</v>
      </c>
      <c r="G14" s="3" t="s">
        <v>355</v>
      </c>
      <c r="H14" s="9" t="s">
        <v>356</v>
      </c>
      <c r="I14" s="11" t="s">
        <v>10</v>
      </c>
      <c r="J14" s="11" t="s">
        <v>11</v>
      </c>
      <c r="K14" s="11" t="s">
        <v>12</v>
      </c>
    </row>
    <row r="15" spans="1:11" ht="12.75" customHeight="1">
      <c r="A15" s="2"/>
      <c r="B15" s="2">
        <v>12</v>
      </c>
      <c r="C15" s="2">
        <v>7</v>
      </c>
      <c r="D15" s="2">
        <f>VLOOKUP($C15,DEFINES!$A$2:$C$10,2,)</f>
        <v>1</v>
      </c>
      <c r="E15" s="2">
        <f>VLOOKUP($C15,DEFINES!$A$2:$C$10,3,)</f>
        <v>1</v>
      </c>
      <c r="F15" s="3" t="s">
        <v>168</v>
      </c>
      <c r="G15" s="3" t="s">
        <v>355</v>
      </c>
      <c r="H15" s="9" t="s">
        <v>356</v>
      </c>
      <c r="I15" s="6" t="s">
        <v>10</v>
      </c>
      <c r="J15" s="6" t="s">
        <v>11</v>
      </c>
      <c r="K15" s="6" t="s">
        <v>12</v>
      </c>
    </row>
    <row r="16" spans="1:11" ht="12.75" customHeight="1">
      <c r="A16" s="2"/>
      <c r="B16" s="2">
        <v>13</v>
      </c>
      <c r="C16" s="2">
        <v>7</v>
      </c>
      <c r="D16" s="2">
        <f>VLOOKUP($C16,DEFINES!$A$2:$C$10,2,)</f>
        <v>1</v>
      </c>
      <c r="E16" s="2">
        <f>VLOOKUP($C16,DEFINES!$A$2:$C$10,3,)</f>
        <v>1</v>
      </c>
      <c r="F16" s="3" t="s">
        <v>168</v>
      </c>
      <c r="G16" s="3" t="s">
        <v>355</v>
      </c>
      <c r="H16" s="9" t="s">
        <v>356</v>
      </c>
      <c r="I16" s="6" t="s">
        <v>10</v>
      </c>
      <c r="J16" s="6" t="s">
        <v>11</v>
      </c>
      <c r="K16" s="6" t="s">
        <v>12</v>
      </c>
    </row>
    <row r="17" spans="1:11" ht="12.75" customHeight="1">
      <c r="A17" s="2"/>
      <c r="B17" s="2">
        <v>14</v>
      </c>
      <c r="C17" s="2">
        <v>7</v>
      </c>
      <c r="D17" s="2">
        <f>VLOOKUP($C17,DEFINES!$A$2:$C$10,2,)</f>
        <v>1</v>
      </c>
      <c r="E17" s="2">
        <f>VLOOKUP($C17,DEFINES!$A$2:$C$10,3,)</f>
        <v>1</v>
      </c>
      <c r="F17" s="3" t="s">
        <v>168</v>
      </c>
      <c r="G17" s="3" t="s">
        <v>355</v>
      </c>
      <c r="H17" s="9" t="s">
        <v>356</v>
      </c>
      <c r="I17" s="6" t="s">
        <v>10</v>
      </c>
      <c r="J17" s="6" t="s">
        <v>11</v>
      </c>
      <c r="K17" s="6" t="s">
        <v>12</v>
      </c>
    </row>
    <row r="18" spans="1:11" ht="12.75" customHeight="1">
      <c r="A18" s="2"/>
      <c r="B18" s="2">
        <v>15</v>
      </c>
      <c r="C18" s="2">
        <v>7</v>
      </c>
      <c r="D18" s="2">
        <f>VLOOKUP($C18,DEFINES!$A$2:$C$10,2,)</f>
        <v>1</v>
      </c>
      <c r="E18" s="2">
        <f>VLOOKUP($C18,DEFINES!$A$2:$C$10,3,)</f>
        <v>1</v>
      </c>
      <c r="F18" s="3" t="s">
        <v>168</v>
      </c>
      <c r="G18" s="3" t="s">
        <v>355</v>
      </c>
      <c r="H18" s="9" t="s">
        <v>356</v>
      </c>
      <c r="I18" s="6" t="s">
        <v>10</v>
      </c>
      <c r="J18" s="6" t="s">
        <v>11</v>
      </c>
      <c r="K18" s="6" t="s">
        <v>12</v>
      </c>
    </row>
    <row r="19" spans="1:11" ht="12.75" customHeight="1">
      <c r="A19" s="2"/>
      <c r="B19" s="2">
        <v>16</v>
      </c>
      <c r="C19" s="2">
        <v>7</v>
      </c>
      <c r="D19" s="2">
        <f>VLOOKUP($C19,DEFINES!$A$2:$C$10,2,)</f>
        <v>1</v>
      </c>
      <c r="E19" s="2">
        <f>VLOOKUP($C19,DEFINES!$A$2:$C$10,3,)</f>
        <v>1</v>
      </c>
      <c r="F19" s="3" t="s">
        <v>168</v>
      </c>
      <c r="G19" s="3" t="s">
        <v>355</v>
      </c>
      <c r="H19" s="9" t="s">
        <v>356</v>
      </c>
      <c r="I19" s="6" t="s">
        <v>10</v>
      </c>
      <c r="J19" s="6" t="s">
        <v>11</v>
      </c>
      <c r="K19" s="6" t="s">
        <v>12</v>
      </c>
    </row>
    <row r="20" spans="1:11" ht="12.75" customHeight="1">
      <c r="A20" s="2"/>
      <c r="B20" s="2">
        <v>17</v>
      </c>
      <c r="C20" s="2">
        <v>7</v>
      </c>
      <c r="D20" s="2">
        <f>VLOOKUP($C20,DEFINES!$A$2:$C$10,2,)</f>
        <v>1</v>
      </c>
      <c r="E20" s="2">
        <f>VLOOKUP($C20,DEFINES!$A$2:$C$10,3,)</f>
        <v>1</v>
      </c>
      <c r="F20" s="3" t="s">
        <v>168</v>
      </c>
      <c r="G20" s="3" t="s">
        <v>355</v>
      </c>
      <c r="H20" s="9" t="s">
        <v>356</v>
      </c>
      <c r="I20" s="6" t="s">
        <v>10</v>
      </c>
      <c r="J20" s="6" t="s">
        <v>11</v>
      </c>
      <c r="K20" s="6" t="s">
        <v>12</v>
      </c>
    </row>
    <row r="21" spans="1:11" ht="12.75" customHeight="1">
      <c r="A21" s="2"/>
      <c r="B21" s="2">
        <v>18</v>
      </c>
      <c r="C21" s="2">
        <v>7</v>
      </c>
      <c r="D21" s="2">
        <f>VLOOKUP($C21,DEFINES!$A$2:$C$10,2,)</f>
        <v>1</v>
      </c>
      <c r="E21" s="2">
        <f>VLOOKUP($C21,DEFINES!$A$2:$C$10,3,)</f>
        <v>1</v>
      </c>
      <c r="F21" s="3" t="s">
        <v>168</v>
      </c>
      <c r="G21" s="3" t="s">
        <v>355</v>
      </c>
      <c r="H21" s="9" t="s">
        <v>356</v>
      </c>
      <c r="I21" s="6" t="s">
        <v>10</v>
      </c>
      <c r="J21" s="6" t="s">
        <v>11</v>
      </c>
      <c r="K21" s="6" t="s">
        <v>12</v>
      </c>
    </row>
    <row r="22" spans="1:11" ht="12.75" customHeight="1">
      <c r="A22" s="2"/>
      <c r="B22" s="2">
        <v>19</v>
      </c>
      <c r="C22" s="2">
        <v>7</v>
      </c>
      <c r="D22" s="2">
        <f>VLOOKUP($C22,DEFINES!$A$2:$C$10,2,)</f>
        <v>1</v>
      </c>
      <c r="E22" s="2">
        <f>VLOOKUP($C22,DEFINES!$A$2:$C$10,3,)</f>
        <v>1</v>
      </c>
      <c r="F22" s="3" t="s">
        <v>168</v>
      </c>
      <c r="G22" s="3" t="s">
        <v>355</v>
      </c>
      <c r="H22" s="9" t="s">
        <v>356</v>
      </c>
      <c r="I22" s="6" t="s">
        <v>10</v>
      </c>
      <c r="J22" s="6" t="s">
        <v>11</v>
      </c>
      <c r="K22" s="6" t="s">
        <v>12</v>
      </c>
    </row>
    <row r="23" spans="1:11" ht="12.75" customHeight="1">
      <c r="A23" s="2"/>
      <c r="B23" s="2">
        <v>20</v>
      </c>
      <c r="C23" s="2">
        <v>7</v>
      </c>
      <c r="D23" s="2">
        <f>VLOOKUP($C23,DEFINES!$A$2:$C$10,2,)</f>
        <v>1</v>
      </c>
      <c r="E23" s="2">
        <f>VLOOKUP($C23,DEFINES!$A$2:$C$10,3,)</f>
        <v>1</v>
      </c>
      <c r="F23" s="3" t="s">
        <v>168</v>
      </c>
      <c r="G23" s="3" t="s">
        <v>355</v>
      </c>
      <c r="H23" s="9" t="s">
        <v>356</v>
      </c>
      <c r="I23" s="6" t="s">
        <v>10</v>
      </c>
      <c r="J23" s="6" t="s">
        <v>11</v>
      </c>
      <c r="K23" s="6" t="s">
        <v>12</v>
      </c>
    </row>
    <row r="24" spans="1:11" ht="12.75" customHeight="1">
      <c r="A24" s="2"/>
      <c r="B24" s="2">
        <v>21</v>
      </c>
      <c r="C24" s="2">
        <v>7</v>
      </c>
      <c r="D24" s="2">
        <f>VLOOKUP($C24,DEFINES!$A$2:$C$10,2,)</f>
        <v>1</v>
      </c>
      <c r="E24" s="2">
        <f>VLOOKUP($C24,DEFINES!$A$2:$C$10,3,)</f>
        <v>1</v>
      </c>
      <c r="F24" s="3" t="s">
        <v>168</v>
      </c>
      <c r="G24" s="3" t="s">
        <v>355</v>
      </c>
      <c r="H24" s="9" t="s">
        <v>356</v>
      </c>
      <c r="I24" s="6" t="s">
        <v>10</v>
      </c>
      <c r="J24" s="6" t="s">
        <v>11</v>
      </c>
      <c r="K24" s="6" t="s">
        <v>12</v>
      </c>
    </row>
    <row r="25" spans="1:11" ht="12.75" customHeight="1">
      <c r="A25" s="2"/>
      <c r="B25" s="2">
        <v>22</v>
      </c>
      <c r="C25" s="2">
        <v>7</v>
      </c>
      <c r="D25" s="2">
        <f>VLOOKUP($C25,DEFINES!$A$2:$C$10,2,)</f>
        <v>1</v>
      </c>
      <c r="E25" s="2">
        <f>VLOOKUP($C25,DEFINES!$A$2:$C$10,3,)</f>
        <v>1</v>
      </c>
      <c r="F25" s="3" t="s">
        <v>168</v>
      </c>
      <c r="G25" s="3" t="s">
        <v>355</v>
      </c>
      <c r="H25" s="9" t="s">
        <v>356</v>
      </c>
      <c r="I25" s="6" t="s">
        <v>10</v>
      </c>
      <c r="J25" s="6" t="s">
        <v>11</v>
      </c>
      <c r="K25" s="6" t="s">
        <v>12</v>
      </c>
    </row>
    <row r="26" spans="1:11" ht="12.75" customHeight="1">
      <c r="A26" s="2"/>
      <c r="B26" s="2">
        <v>23</v>
      </c>
      <c r="C26" s="2">
        <v>7</v>
      </c>
      <c r="D26" s="2">
        <f>VLOOKUP($C26,DEFINES!$A$2:$C$10,2,)</f>
        <v>1</v>
      </c>
      <c r="E26" s="2">
        <f>VLOOKUP($C26,DEFINES!$A$2:$C$10,3,)</f>
        <v>1</v>
      </c>
      <c r="F26" s="3" t="s">
        <v>168</v>
      </c>
      <c r="G26" s="3" t="s">
        <v>355</v>
      </c>
      <c r="H26" s="9" t="s">
        <v>356</v>
      </c>
      <c r="I26" s="6" t="s">
        <v>10</v>
      </c>
      <c r="J26" s="6" t="s">
        <v>11</v>
      </c>
      <c r="K26" s="6" t="s">
        <v>12</v>
      </c>
    </row>
    <row r="27" spans="1:11" ht="12.75" customHeight="1">
      <c r="A27" s="2"/>
      <c r="B27" s="2">
        <v>24</v>
      </c>
      <c r="C27" s="2">
        <v>7</v>
      </c>
      <c r="D27" s="2">
        <f>VLOOKUP($C27,DEFINES!$A$2:$C$10,2,)</f>
        <v>1</v>
      </c>
      <c r="E27" s="2">
        <f>VLOOKUP($C27,DEFINES!$A$2:$C$10,3,)</f>
        <v>1</v>
      </c>
      <c r="F27" s="3" t="s">
        <v>168</v>
      </c>
      <c r="G27" s="3" t="s">
        <v>355</v>
      </c>
      <c r="H27" s="9" t="s">
        <v>356</v>
      </c>
      <c r="I27" s="6" t="s">
        <v>10</v>
      </c>
      <c r="J27" s="6" t="s">
        <v>11</v>
      </c>
      <c r="K27" s="6" t="s">
        <v>12</v>
      </c>
    </row>
    <row r="28" spans="1:11" ht="12.75" customHeight="1">
      <c r="A28" s="2"/>
      <c r="B28" s="2">
        <v>25</v>
      </c>
      <c r="C28" s="2">
        <v>7</v>
      </c>
      <c r="D28" s="2">
        <f>VLOOKUP($C28,DEFINES!$A$2:$C$10,2,)</f>
        <v>1</v>
      </c>
      <c r="E28" s="2">
        <f>VLOOKUP($C28,DEFINES!$A$2:$C$10,3,)</f>
        <v>1</v>
      </c>
      <c r="F28" s="3" t="s">
        <v>168</v>
      </c>
      <c r="G28" s="3" t="s">
        <v>355</v>
      </c>
      <c r="H28" s="9" t="s">
        <v>356</v>
      </c>
      <c r="I28" s="6" t="s">
        <v>10</v>
      </c>
      <c r="J28" s="6" t="s">
        <v>11</v>
      </c>
      <c r="K28" s="6" t="s">
        <v>12</v>
      </c>
    </row>
    <row r="29" spans="1:11" ht="12.75" customHeight="1">
      <c r="A29" s="2"/>
      <c r="B29" s="2">
        <v>26</v>
      </c>
      <c r="C29" s="2">
        <v>7</v>
      </c>
      <c r="D29" s="2">
        <f>VLOOKUP($C29,DEFINES!$A$2:$C$10,2,)</f>
        <v>1</v>
      </c>
      <c r="E29" s="2">
        <f>VLOOKUP($C29,DEFINES!$A$2:$C$10,3,)</f>
        <v>1</v>
      </c>
      <c r="F29" s="3" t="s">
        <v>168</v>
      </c>
      <c r="G29" s="3" t="s">
        <v>355</v>
      </c>
      <c r="H29" s="9" t="s">
        <v>356</v>
      </c>
      <c r="I29" s="6" t="s">
        <v>10</v>
      </c>
      <c r="J29" s="6" t="s">
        <v>11</v>
      </c>
      <c r="K29" s="6" t="s">
        <v>12</v>
      </c>
    </row>
    <row r="30" spans="1:11" ht="12.75" customHeight="1">
      <c r="A30" s="2"/>
      <c r="B30" s="2">
        <v>27</v>
      </c>
      <c r="C30" s="2">
        <v>7</v>
      </c>
      <c r="D30" s="2">
        <f>VLOOKUP($C30,DEFINES!$A$2:$C$10,2,)</f>
        <v>1</v>
      </c>
      <c r="E30" s="2">
        <f>VLOOKUP($C30,DEFINES!$A$2:$C$10,3,)</f>
        <v>1</v>
      </c>
      <c r="F30" s="3" t="s">
        <v>168</v>
      </c>
      <c r="G30" s="3" t="s">
        <v>355</v>
      </c>
      <c r="H30" s="9" t="s">
        <v>356</v>
      </c>
      <c r="I30" s="6" t="s">
        <v>10</v>
      </c>
      <c r="J30" s="6" t="s">
        <v>11</v>
      </c>
      <c r="K30" s="6" t="s">
        <v>12</v>
      </c>
    </row>
    <row r="31" spans="1:11" ht="12.75" customHeight="1">
      <c r="A31" s="2"/>
      <c r="B31" s="2">
        <v>28</v>
      </c>
      <c r="C31" s="2">
        <v>7</v>
      </c>
      <c r="D31" s="2">
        <f>VLOOKUP($C31,DEFINES!$A$2:$C$10,2,)</f>
        <v>1</v>
      </c>
      <c r="E31" s="2">
        <f>VLOOKUP($C31,DEFINES!$A$2:$C$10,3,)</f>
        <v>1</v>
      </c>
      <c r="F31" s="3" t="s">
        <v>168</v>
      </c>
      <c r="G31" s="3" t="s">
        <v>355</v>
      </c>
      <c r="H31" s="9" t="s">
        <v>356</v>
      </c>
      <c r="I31" s="6" t="s">
        <v>10</v>
      </c>
      <c r="J31" s="6" t="s">
        <v>11</v>
      </c>
      <c r="K31" s="6" t="s">
        <v>12</v>
      </c>
    </row>
    <row r="32" spans="1:11" ht="12.75" customHeight="1">
      <c r="A32" s="2"/>
      <c r="B32" s="2">
        <v>29</v>
      </c>
      <c r="C32" s="2">
        <v>7</v>
      </c>
      <c r="D32" s="2">
        <f>VLOOKUP($C32,DEFINES!$A$2:$C$10,2,)</f>
        <v>1</v>
      </c>
      <c r="E32" s="2">
        <f>VLOOKUP($C32,DEFINES!$A$2:$C$10,3,)</f>
        <v>1</v>
      </c>
      <c r="F32" s="3" t="s">
        <v>168</v>
      </c>
      <c r="G32" s="3" t="s">
        <v>355</v>
      </c>
      <c r="H32" s="9" t="s">
        <v>356</v>
      </c>
      <c r="I32" s="6" t="s">
        <v>10</v>
      </c>
      <c r="J32" s="6" t="s">
        <v>11</v>
      </c>
      <c r="K32" s="6" t="s">
        <v>12</v>
      </c>
    </row>
    <row r="33" spans="1:11" ht="12.75" customHeight="1">
      <c r="A33" s="2"/>
      <c r="B33" s="2">
        <v>30</v>
      </c>
      <c r="C33" s="2">
        <v>7</v>
      </c>
      <c r="D33" s="2">
        <f>VLOOKUP($C33,DEFINES!$A$2:$C$10,2,)</f>
        <v>1</v>
      </c>
      <c r="E33" s="2">
        <f>VLOOKUP($C33,DEFINES!$A$2:$C$10,3,)</f>
        <v>1</v>
      </c>
      <c r="F33" s="3" t="s">
        <v>168</v>
      </c>
      <c r="G33" s="3" t="s">
        <v>355</v>
      </c>
      <c r="H33" s="9" t="s">
        <v>356</v>
      </c>
      <c r="I33" s="6" t="s">
        <v>10</v>
      </c>
      <c r="J33" s="6" t="s">
        <v>11</v>
      </c>
      <c r="K33" s="6" t="s">
        <v>12</v>
      </c>
    </row>
    <row r="34" spans="1:11" ht="12.75" customHeight="1">
      <c r="A34" s="2"/>
      <c r="B34" s="2">
        <v>31</v>
      </c>
      <c r="C34" s="2">
        <v>7</v>
      </c>
      <c r="D34" s="2">
        <f>VLOOKUP($C34,DEFINES!$A$2:$C$10,2,)</f>
        <v>1</v>
      </c>
      <c r="E34" s="2">
        <f>VLOOKUP($C34,DEFINES!$A$2:$C$10,3,)</f>
        <v>1</v>
      </c>
      <c r="F34" s="3" t="s">
        <v>168</v>
      </c>
      <c r="G34" s="3" t="s">
        <v>355</v>
      </c>
      <c r="H34" s="9" t="s">
        <v>356</v>
      </c>
      <c r="I34" s="6" t="s">
        <v>10</v>
      </c>
      <c r="J34" s="6" t="s">
        <v>11</v>
      </c>
      <c r="K34" s="6" t="s">
        <v>12</v>
      </c>
    </row>
    <row r="35" spans="1:11" ht="12.75" customHeight="1">
      <c r="A35" s="2"/>
      <c r="B35" s="2">
        <v>32</v>
      </c>
      <c r="C35" s="2">
        <v>7</v>
      </c>
      <c r="D35" s="2">
        <f>VLOOKUP($C35,DEFINES!$A$2:$C$10,2,)</f>
        <v>1</v>
      </c>
      <c r="E35" s="2">
        <f>VLOOKUP($C35,DEFINES!$A$2:$C$10,3,)</f>
        <v>1</v>
      </c>
      <c r="F35" s="3" t="s">
        <v>168</v>
      </c>
      <c r="G35" s="3" t="s">
        <v>355</v>
      </c>
      <c r="H35" s="9" t="s">
        <v>356</v>
      </c>
      <c r="I35" s="6" t="s">
        <v>10</v>
      </c>
      <c r="J35" s="6" t="s">
        <v>11</v>
      </c>
      <c r="K35" s="6" t="s">
        <v>12</v>
      </c>
    </row>
    <row r="36" spans="1:11" ht="12.75" customHeight="1">
      <c r="A36" s="2"/>
      <c r="B36" s="2">
        <v>33</v>
      </c>
      <c r="C36" s="2">
        <v>7</v>
      </c>
      <c r="D36" s="2">
        <f>VLOOKUP($C36,DEFINES!$A$2:$C$10,2,)</f>
        <v>1</v>
      </c>
      <c r="E36" s="2">
        <f>VLOOKUP($C36,DEFINES!$A$2:$C$10,3,)</f>
        <v>1</v>
      </c>
      <c r="F36" s="3" t="s">
        <v>168</v>
      </c>
      <c r="G36" s="3" t="s">
        <v>355</v>
      </c>
      <c r="H36" s="9" t="s">
        <v>356</v>
      </c>
      <c r="I36" s="6" t="s">
        <v>10</v>
      </c>
      <c r="J36" s="6" t="s">
        <v>11</v>
      </c>
      <c r="K36" s="6" t="s">
        <v>12</v>
      </c>
    </row>
    <row r="37" spans="1:11" ht="12.75" customHeight="1">
      <c r="A37" s="2"/>
      <c r="B37" s="2">
        <v>34</v>
      </c>
      <c r="C37" s="2">
        <v>7</v>
      </c>
      <c r="D37" s="2">
        <f>VLOOKUP($C37,DEFINES!$A$2:$C$10,2,)</f>
        <v>1</v>
      </c>
      <c r="E37" s="2">
        <f>VLOOKUP($C37,DEFINES!$A$2:$C$10,3,)</f>
        <v>1</v>
      </c>
      <c r="F37" s="3" t="s">
        <v>168</v>
      </c>
      <c r="G37" s="3" t="s">
        <v>355</v>
      </c>
      <c r="H37" s="9" t="s">
        <v>356</v>
      </c>
      <c r="I37" s="6" t="s">
        <v>10</v>
      </c>
      <c r="J37" s="6" t="s">
        <v>11</v>
      </c>
      <c r="K37" s="6" t="s">
        <v>12</v>
      </c>
    </row>
    <row r="38" spans="1:11" ht="12.75" customHeight="1">
      <c r="A38" s="2"/>
      <c r="B38" s="2">
        <v>35</v>
      </c>
      <c r="C38" s="2">
        <v>7</v>
      </c>
      <c r="D38" s="2">
        <f>VLOOKUP($C38,DEFINES!$A$2:$C$10,2,)</f>
        <v>1</v>
      </c>
      <c r="E38" s="2">
        <f>VLOOKUP($C38,DEFINES!$A$2:$C$10,3,)</f>
        <v>1</v>
      </c>
      <c r="F38" s="3" t="s">
        <v>168</v>
      </c>
      <c r="G38" s="3" t="s">
        <v>355</v>
      </c>
      <c r="H38" s="9" t="s">
        <v>356</v>
      </c>
      <c r="I38" s="6" t="s">
        <v>10</v>
      </c>
      <c r="J38" s="6" t="s">
        <v>11</v>
      </c>
      <c r="K38" s="6" t="s">
        <v>12</v>
      </c>
    </row>
    <row r="39" spans="1:11" ht="12.75" customHeight="1">
      <c r="A39" s="2"/>
      <c r="B39" s="2">
        <v>36</v>
      </c>
      <c r="C39" s="2">
        <v>7</v>
      </c>
      <c r="D39" s="2">
        <f>VLOOKUP($C39,DEFINES!$A$2:$C$10,2,)</f>
        <v>1</v>
      </c>
      <c r="E39" s="2">
        <f>VLOOKUP($C39,DEFINES!$A$2:$C$10,3,)</f>
        <v>1</v>
      </c>
      <c r="F39" s="3" t="s">
        <v>168</v>
      </c>
      <c r="G39" s="3" t="s">
        <v>355</v>
      </c>
      <c r="H39" s="9" t="s">
        <v>356</v>
      </c>
      <c r="I39" s="6" t="s">
        <v>10</v>
      </c>
      <c r="J39" s="6" t="s">
        <v>11</v>
      </c>
      <c r="K39" s="6" t="s">
        <v>12</v>
      </c>
    </row>
    <row r="40" spans="1:11" ht="12.75" customHeight="1">
      <c r="A40" s="2"/>
      <c r="B40" s="2">
        <v>37</v>
      </c>
      <c r="C40" s="2">
        <v>7</v>
      </c>
      <c r="D40" s="2">
        <f>VLOOKUP($C40,DEFINES!$A$2:$C$10,2,)</f>
        <v>1</v>
      </c>
      <c r="E40" s="2">
        <f>VLOOKUP($C40,DEFINES!$A$2:$C$10,3,)</f>
        <v>1</v>
      </c>
      <c r="F40" s="3" t="s">
        <v>168</v>
      </c>
      <c r="G40" s="3" t="s">
        <v>355</v>
      </c>
      <c r="H40" s="9" t="s">
        <v>356</v>
      </c>
      <c r="I40" s="6" t="s">
        <v>10</v>
      </c>
      <c r="J40" s="6" t="s">
        <v>11</v>
      </c>
      <c r="K40" s="6" t="s">
        <v>12</v>
      </c>
    </row>
    <row r="41" spans="1:11" ht="12.75" customHeight="1">
      <c r="A41" s="2"/>
      <c r="B41" s="2">
        <v>38</v>
      </c>
      <c r="C41" s="2">
        <v>7</v>
      </c>
      <c r="D41" s="2">
        <f>VLOOKUP($C41,DEFINES!$A$2:$C$10,2,)</f>
        <v>1</v>
      </c>
      <c r="E41" s="2">
        <f>VLOOKUP($C41,DEFINES!$A$2:$C$10,3,)</f>
        <v>1</v>
      </c>
      <c r="F41" s="3" t="s">
        <v>168</v>
      </c>
      <c r="G41" s="3" t="s">
        <v>355</v>
      </c>
      <c r="H41" s="9" t="s">
        <v>356</v>
      </c>
      <c r="I41" s="6" t="s">
        <v>10</v>
      </c>
      <c r="J41" s="6" t="s">
        <v>11</v>
      </c>
      <c r="K41" s="6" t="s">
        <v>12</v>
      </c>
    </row>
    <row r="42" spans="1:11" ht="12.75" customHeight="1">
      <c r="A42" s="2"/>
      <c r="B42" s="2">
        <v>39</v>
      </c>
      <c r="C42" s="2">
        <v>7</v>
      </c>
      <c r="D42" s="2">
        <f>VLOOKUP($C42,DEFINES!$A$2:$C$10,2,)</f>
        <v>1</v>
      </c>
      <c r="E42" s="2">
        <f>VLOOKUP($C42,DEFINES!$A$2:$C$10,3,)</f>
        <v>1</v>
      </c>
      <c r="F42" s="3" t="s">
        <v>168</v>
      </c>
      <c r="G42" s="3" t="s">
        <v>355</v>
      </c>
      <c r="H42" s="9" t="s">
        <v>356</v>
      </c>
      <c r="I42" s="6" t="s">
        <v>10</v>
      </c>
      <c r="J42" s="6" t="s">
        <v>11</v>
      </c>
      <c r="K42" s="6" t="s">
        <v>12</v>
      </c>
    </row>
    <row r="43" spans="1:11" ht="12.75" customHeight="1">
      <c r="A43" s="2"/>
      <c r="B43" s="2">
        <v>40</v>
      </c>
      <c r="C43" s="2">
        <v>7</v>
      </c>
      <c r="D43" s="2">
        <f>VLOOKUP($C43,DEFINES!$A$2:$C$10,2,)</f>
        <v>1</v>
      </c>
      <c r="E43" s="2">
        <f>VLOOKUP($C43,DEFINES!$A$2:$C$10,3,)</f>
        <v>1</v>
      </c>
      <c r="F43" s="3" t="s">
        <v>168</v>
      </c>
      <c r="G43" s="3" t="s">
        <v>355</v>
      </c>
      <c r="H43" s="9" t="s">
        <v>356</v>
      </c>
      <c r="I43" s="6" t="s">
        <v>10</v>
      </c>
      <c r="J43" s="6" t="s">
        <v>11</v>
      </c>
      <c r="K43" s="6" t="s">
        <v>12</v>
      </c>
    </row>
    <row r="44" spans="1:11" ht="12.75" customHeight="1">
      <c r="A44" s="2"/>
      <c r="B44" s="2">
        <v>41</v>
      </c>
      <c r="C44" s="2">
        <v>7</v>
      </c>
      <c r="D44" s="2">
        <f>VLOOKUP($C44,DEFINES!$A$2:$C$10,2,)</f>
        <v>1</v>
      </c>
      <c r="E44" s="2">
        <f>VLOOKUP($C44,DEFINES!$A$2:$C$10,3,)</f>
        <v>1</v>
      </c>
      <c r="F44" s="3" t="s">
        <v>168</v>
      </c>
      <c r="G44" s="3" t="s">
        <v>355</v>
      </c>
      <c r="H44" s="9" t="s">
        <v>356</v>
      </c>
      <c r="I44" s="6" t="s">
        <v>10</v>
      </c>
      <c r="J44" s="6" t="s">
        <v>11</v>
      </c>
      <c r="K44" s="6" t="s">
        <v>12</v>
      </c>
    </row>
    <row r="45" spans="1:11" ht="12.75" customHeight="1">
      <c r="A45" s="2"/>
      <c r="B45" s="2">
        <v>42</v>
      </c>
      <c r="C45" s="2">
        <v>7</v>
      </c>
      <c r="D45" s="2">
        <f>VLOOKUP($C45,DEFINES!$A$2:$C$10,2,)</f>
        <v>1</v>
      </c>
      <c r="E45" s="2">
        <f>VLOOKUP($C45,DEFINES!$A$2:$C$10,3,)</f>
        <v>1</v>
      </c>
      <c r="F45" s="3" t="s">
        <v>168</v>
      </c>
      <c r="G45" s="3" t="s">
        <v>355</v>
      </c>
      <c r="H45" s="9" t="s">
        <v>356</v>
      </c>
      <c r="I45" s="6" t="s">
        <v>10</v>
      </c>
      <c r="J45" s="6" t="s">
        <v>11</v>
      </c>
      <c r="K45" s="6" t="s">
        <v>12</v>
      </c>
    </row>
    <row r="46" spans="1:11" ht="12.75" customHeight="1">
      <c r="A46" s="2"/>
      <c r="B46" s="2">
        <v>43</v>
      </c>
      <c r="C46" s="2">
        <v>7</v>
      </c>
      <c r="D46" s="2">
        <f>VLOOKUP($C46,DEFINES!$A$2:$C$10,2,)</f>
        <v>1</v>
      </c>
      <c r="E46" s="2">
        <f>VLOOKUP($C46,DEFINES!$A$2:$C$10,3,)</f>
        <v>1</v>
      </c>
      <c r="F46" s="3" t="s">
        <v>168</v>
      </c>
      <c r="G46" s="3" t="s">
        <v>355</v>
      </c>
      <c r="H46" s="9" t="s">
        <v>356</v>
      </c>
      <c r="I46" s="6" t="s">
        <v>10</v>
      </c>
      <c r="J46" s="6" t="s">
        <v>11</v>
      </c>
      <c r="K46" s="6" t="s">
        <v>12</v>
      </c>
    </row>
    <row r="47" spans="1:11" ht="12.75" customHeight="1">
      <c r="A47" s="2"/>
      <c r="B47" s="2">
        <v>44</v>
      </c>
      <c r="C47" s="2">
        <v>7</v>
      </c>
      <c r="D47" s="2">
        <f>VLOOKUP($C47,DEFINES!$A$2:$C$10,2,)</f>
        <v>1</v>
      </c>
      <c r="E47" s="2">
        <f>VLOOKUP($C47,DEFINES!$A$2:$C$10,3,)</f>
        <v>1</v>
      </c>
      <c r="F47" s="3" t="s">
        <v>168</v>
      </c>
      <c r="G47" s="3" t="s">
        <v>355</v>
      </c>
      <c r="H47" s="9" t="s">
        <v>356</v>
      </c>
      <c r="I47" s="6" t="s">
        <v>10</v>
      </c>
      <c r="J47" s="6" t="s">
        <v>11</v>
      </c>
      <c r="K47" s="6" t="s">
        <v>12</v>
      </c>
    </row>
    <row r="48" spans="1:11" ht="12.75" customHeight="1">
      <c r="A48" s="2"/>
      <c r="B48" s="2">
        <v>45</v>
      </c>
      <c r="C48" s="2">
        <v>7</v>
      </c>
      <c r="D48" s="2">
        <f>VLOOKUP($C48,DEFINES!$A$2:$C$10,2,)</f>
        <v>1</v>
      </c>
      <c r="E48" s="2">
        <f>VLOOKUP($C48,DEFINES!$A$2:$C$10,3,)</f>
        <v>1</v>
      </c>
      <c r="F48" s="3" t="s">
        <v>168</v>
      </c>
      <c r="G48" s="3" t="s">
        <v>355</v>
      </c>
      <c r="H48" s="9" t="s">
        <v>356</v>
      </c>
      <c r="I48" s="6" t="s">
        <v>10</v>
      </c>
      <c r="J48" s="6" t="s">
        <v>11</v>
      </c>
      <c r="K48" s="6" t="s">
        <v>12</v>
      </c>
    </row>
    <row r="49" spans="1:11" ht="12.75" customHeight="1">
      <c r="A49" s="2"/>
      <c r="B49" s="2">
        <v>46</v>
      </c>
      <c r="C49" s="2">
        <v>7</v>
      </c>
      <c r="D49" s="2">
        <f>VLOOKUP($C49,DEFINES!$A$2:$C$10,2,)</f>
        <v>1</v>
      </c>
      <c r="E49" s="2">
        <f>VLOOKUP($C49,DEFINES!$A$2:$C$10,3,)</f>
        <v>1</v>
      </c>
      <c r="F49" s="3" t="s">
        <v>168</v>
      </c>
      <c r="G49" s="3" t="s">
        <v>355</v>
      </c>
      <c r="H49" s="9" t="s">
        <v>356</v>
      </c>
      <c r="I49" s="6" t="s">
        <v>10</v>
      </c>
      <c r="J49" s="6" t="s">
        <v>11</v>
      </c>
      <c r="K49" s="6" t="s">
        <v>12</v>
      </c>
    </row>
    <row r="50" spans="1:11" ht="12.75" customHeight="1">
      <c r="A50" s="2"/>
      <c r="B50" s="2">
        <v>47</v>
      </c>
      <c r="C50" s="2">
        <v>7</v>
      </c>
      <c r="D50" s="2">
        <f>VLOOKUP($C50,DEFINES!$A$2:$C$10,2,)</f>
        <v>1</v>
      </c>
      <c r="E50" s="2">
        <f>VLOOKUP($C50,DEFINES!$A$2:$C$10,3,)</f>
        <v>1</v>
      </c>
      <c r="F50" s="3" t="s">
        <v>168</v>
      </c>
      <c r="G50" s="3" t="s">
        <v>355</v>
      </c>
      <c r="H50" s="9" t="s">
        <v>356</v>
      </c>
      <c r="I50" s="6" t="s">
        <v>10</v>
      </c>
      <c r="J50" s="6" t="s">
        <v>11</v>
      </c>
      <c r="K50" s="6" t="s">
        <v>12</v>
      </c>
    </row>
    <row r="51" spans="1:11" ht="12.75" customHeight="1">
      <c r="A51" s="2"/>
      <c r="B51" s="2">
        <v>48</v>
      </c>
      <c r="C51" s="2">
        <v>7</v>
      </c>
      <c r="D51" s="2">
        <f>VLOOKUP($C51,DEFINES!$A$2:$C$10,2,)</f>
        <v>1</v>
      </c>
      <c r="E51" s="2">
        <f>VLOOKUP($C51,DEFINES!$A$2:$C$10,3,)</f>
        <v>1</v>
      </c>
      <c r="F51" s="3" t="s">
        <v>168</v>
      </c>
      <c r="G51" s="3" t="s">
        <v>355</v>
      </c>
      <c r="H51" s="9" t="s">
        <v>356</v>
      </c>
      <c r="I51" s="6" t="s">
        <v>10</v>
      </c>
      <c r="J51" s="6" t="s">
        <v>11</v>
      </c>
      <c r="K51" s="6" t="s">
        <v>12</v>
      </c>
    </row>
    <row r="52" spans="1:11" ht="12.75" customHeight="1">
      <c r="A52" s="2"/>
      <c r="B52" s="2">
        <v>49</v>
      </c>
      <c r="C52" s="2">
        <v>7</v>
      </c>
      <c r="D52" s="2">
        <f>VLOOKUP($C52,DEFINES!$A$2:$C$10,2,)</f>
        <v>1</v>
      </c>
      <c r="E52" s="2">
        <f>VLOOKUP($C52,DEFINES!$A$2:$C$10,3,)</f>
        <v>1</v>
      </c>
      <c r="F52" s="3" t="s">
        <v>168</v>
      </c>
      <c r="G52" s="3" t="s">
        <v>355</v>
      </c>
      <c r="H52" s="9" t="s">
        <v>356</v>
      </c>
      <c r="I52" s="6" t="s">
        <v>10</v>
      </c>
      <c r="J52" s="6" t="s">
        <v>11</v>
      </c>
      <c r="K52" s="6" t="s">
        <v>12</v>
      </c>
    </row>
    <row r="53" spans="1:11" ht="12.75" customHeight="1">
      <c r="A53" s="2"/>
      <c r="B53" s="2">
        <v>50</v>
      </c>
      <c r="C53" s="2">
        <v>7</v>
      </c>
      <c r="D53" s="2">
        <f>VLOOKUP($C53,DEFINES!$A$2:$C$10,2,)</f>
        <v>1</v>
      </c>
      <c r="E53" s="2">
        <f>VLOOKUP($C53,DEFINES!$A$2:$C$10,3,)</f>
        <v>1</v>
      </c>
      <c r="F53" s="3" t="s">
        <v>168</v>
      </c>
      <c r="G53" s="3" t="s">
        <v>355</v>
      </c>
      <c r="H53" s="9" t="s">
        <v>356</v>
      </c>
      <c r="I53" s="6" t="s">
        <v>10</v>
      </c>
      <c r="J53" s="6" t="s">
        <v>11</v>
      </c>
      <c r="K53" s="6" t="s">
        <v>12</v>
      </c>
    </row>
    <row r="54" spans="1:11" ht="12.75" customHeight="1">
      <c r="A54" s="2"/>
      <c r="B54" s="2"/>
      <c r="C54" s="2"/>
      <c r="D54" s="2"/>
      <c r="E54" s="2"/>
      <c r="F54" s="3"/>
      <c r="G54" s="3"/>
      <c r="H54" s="9"/>
      <c r="I54" s="3"/>
      <c r="J54" s="3"/>
      <c r="K54" s="3"/>
    </row>
    <row r="55" spans="1:11" ht="12.75" customHeight="1">
      <c r="A55" s="5"/>
      <c r="B55" s="2"/>
      <c r="C55" s="2"/>
      <c r="D55" s="2"/>
      <c r="E55" s="2"/>
      <c r="F55" s="3"/>
      <c r="G55" s="3"/>
      <c r="H55" s="3"/>
      <c r="I55" s="3"/>
      <c r="J55" s="3"/>
      <c r="K55" s="3"/>
    </row>
  </sheetData>
  <pageMargins left="0.7" right="0.7" top="0.78740157499999996" bottom="0.78740157499999996" header="0.3" footer="0.3"/>
  <pageSetup paperSize="0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38">
    <tabColor theme="1"/>
  </sheetPr>
  <dimension ref="A1:K91"/>
  <sheetViews>
    <sheetView workbookViewId="0">
      <pane xSplit="5" ySplit="3" topLeftCell="H4" activePane="bottomRight" state="frozen"/>
      <selection activeCell="F57" sqref="F57"/>
      <selection pane="topRight" activeCell="F57" sqref="F57"/>
      <selection pane="bottomLeft" activeCell="F57" sqref="F57"/>
      <selection pane="bottomRight" activeCell="H4" sqref="H4:H48"/>
    </sheetView>
  </sheetViews>
  <sheetFormatPr defaultColWidth="11.453125" defaultRowHeight="12.5" outlineLevelCol="1"/>
  <cols>
    <col min="3" max="5" width="11.453125" customWidth="1" outlineLevel="1"/>
    <col min="6" max="6" width="97.81640625" customWidth="1"/>
    <col min="7" max="7" width="90.81640625" customWidth="1"/>
    <col min="8" max="8" width="69.453125" customWidth="1"/>
    <col min="9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100310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>
        <v>100311</v>
      </c>
      <c r="B3" s="5"/>
      <c r="C3" s="2" t="s">
        <v>2</v>
      </c>
      <c r="D3" s="2" t="s">
        <v>2</v>
      </c>
      <c r="E3" s="2" t="s">
        <v>2</v>
      </c>
      <c r="F3" s="6" t="s">
        <v>438</v>
      </c>
      <c r="G3" s="6" t="s">
        <v>438</v>
      </c>
      <c r="H3" s="6" t="s">
        <v>438</v>
      </c>
      <c r="I3" s="7" t="s">
        <v>36</v>
      </c>
      <c r="J3" s="7" t="s">
        <v>37</v>
      </c>
      <c r="K3" s="7" t="s">
        <v>38</v>
      </c>
    </row>
    <row r="4" spans="1:11" ht="13">
      <c r="A4" s="2">
        <v>100312</v>
      </c>
      <c r="B4" s="20">
        <v>1</v>
      </c>
      <c r="C4" s="2">
        <v>7</v>
      </c>
      <c r="D4" s="2">
        <f>VLOOKUP($C4,DEFINES!$A$2:$C$10,2,)</f>
        <v>1</v>
      </c>
      <c r="E4" s="2">
        <f>VLOOKUP($C4,DEFINES!$A$2:$C$10,3,)</f>
        <v>1</v>
      </c>
      <c r="F4" s="6" t="s">
        <v>499</v>
      </c>
      <c r="G4" s="6" t="s">
        <v>457</v>
      </c>
      <c r="H4" s="6" t="s">
        <v>553</v>
      </c>
      <c r="I4" s="6" t="s">
        <v>10</v>
      </c>
      <c r="J4" s="6" t="s">
        <v>11</v>
      </c>
      <c r="K4" s="6" t="s">
        <v>12</v>
      </c>
    </row>
    <row r="5" spans="1:11" ht="13">
      <c r="A5" s="2">
        <v>100313</v>
      </c>
      <c r="B5" s="20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6" t="s">
        <v>500</v>
      </c>
      <c r="G5" s="6" t="s">
        <v>457</v>
      </c>
      <c r="H5" s="6" t="s">
        <v>553</v>
      </c>
      <c r="I5" s="6" t="s">
        <v>10</v>
      </c>
      <c r="J5" s="6" t="s">
        <v>11</v>
      </c>
      <c r="K5" s="6" t="s">
        <v>12</v>
      </c>
    </row>
    <row r="6" spans="1:11" ht="13">
      <c r="A6" s="2">
        <v>100314</v>
      </c>
      <c r="B6" s="20">
        <v>3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3" t="s">
        <v>501</v>
      </c>
      <c r="G6" s="6" t="s">
        <v>458</v>
      </c>
      <c r="H6" s="6" t="s">
        <v>554</v>
      </c>
      <c r="I6" s="6" t="s">
        <v>10</v>
      </c>
      <c r="J6" s="6" t="s">
        <v>11</v>
      </c>
      <c r="K6" s="6" t="s">
        <v>12</v>
      </c>
    </row>
    <row r="7" spans="1:11" ht="13">
      <c r="A7" s="2">
        <v>100315</v>
      </c>
      <c r="B7" s="20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6" t="s">
        <v>502</v>
      </c>
      <c r="G7" s="6" t="s">
        <v>459</v>
      </c>
      <c r="H7" s="6" t="s">
        <v>555</v>
      </c>
      <c r="I7" s="6" t="s">
        <v>10</v>
      </c>
      <c r="J7" s="6" t="s">
        <v>11</v>
      </c>
      <c r="K7" s="6" t="s">
        <v>12</v>
      </c>
    </row>
    <row r="8" spans="1:11" ht="13">
      <c r="A8" s="2">
        <v>100316</v>
      </c>
      <c r="B8" s="20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6" t="s">
        <v>503</v>
      </c>
      <c r="G8" s="6" t="s">
        <v>460</v>
      </c>
      <c r="H8" s="6" t="s">
        <v>556</v>
      </c>
      <c r="I8" s="6" t="s">
        <v>10</v>
      </c>
      <c r="J8" s="6" t="s">
        <v>11</v>
      </c>
      <c r="K8" s="6" t="s">
        <v>12</v>
      </c>
    </row>
    <row r="9" spans="1:11" ht="13">
      <c r="A9" s="2">
        <v>100317</v>
      </c>
      <c r="B9" s="20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6" t="s">
        <v>504</v>
      </c>
      <c r="G9" s="6" t="s">
        <v>461</v>
      </c>
      <c r="H9" s="6" t="s">
        <v>557</v>
      </c>
      <c r="I9" s="6" t="s">
        <v>10</v>
      </c>
      <c r="J9" s="6" t="s">
        <v>11</v>
      </c>
      <c r="K9" s="6" t="s">
        <v>12</v>
      </c>
    </row>
    <row r="10" spans="1:11" ht="13">
      <c r="A10" s="2">
        <v>100318</v>
      </c>
      <c r="B10" s="20">
        <v>7</v>
      </c>
      <c r="C10" s="2">
        <f>TCEVENTCLASS_ALARM</f>
        <v>7</v>
      </c>
      <c r="D10" s="2">
        <f>VLOOKUP($C10,DEFINES!$A$2:$C$10,2,)</f>
        <v>1</v>
      </c>
      <c r="E10" s="2">
        <f>VLOOKUP($C10,DEFINES!$A$2:$C$10,3,)</f>
        <v>1</v>
      </c>
      <c r="F10" s="6" t="s">
        <v>505</v>
      </c>
      <c r="G10" s="6" t="s">
        <v>462</v>
      </c>
      <c r="H10" s="6" t="s">
        <v>558</v>
      </c>
      <c r="I10" s="6" t="s">
        <v>10</v>
      </c>
      <c r="J10" s="6" t="s">
        <v>11</v>
      </c>
      <c r="K10" s="6" t="s">
        <v>12</v>
      </c>
    </row>
    <row r="11" spans="1:11" ht="13">
      <c r="A11" s="2">
        <v>100319</v>
      </c>
      <c r="B11" s="20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6" t="s">
        <v>506</v>
      </c>
      <c r="G11" s="6" t="s">
        <v>463</v>
      </c>
      <c r="H11" s="6" t="s">
        <v>559</v>
      </c>
      <c r="I11" s="6" t="s">
        <v>10</v>
      </c>
      <c r="J11" s="6" t="s">
        <v>11</v>
      </c>
      <c r="K11" s="6" t="s">
        <v>12</v>
      </c>
    </row>
    <row r="12" spans="1:11" ht="13">
      <c r="A12" s="2">
        <v>100320</v>
      </c>
      <c r="B12" s="20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6" t="s">
        <v>507</v>
      </c>
      <c r="G12" s="6" t="s">
        <v>464</v>
      </c>
      <c r="H12" s="6" t="s">
        <v>560</v>
      </c>
      <c r="I12" s="6" t="s">
        <v>10</v>
      </c>
      <c r="J12" s="6" t="s">
        <v>11</v>
      </c>
      <c r="K12" s="6" t="s">
        <v>12</v>
      </c>
    </row>
    <row r="13" spans="1:11" ht="13">
      <c r="A13" s="2">
        <v>100321</v>
      </c>
      <c r="B13" s="20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6" t="s">
        <v>508</v>
      </c>
      <c r="G13" s="6" t="s">
        <v>465</v>
      </c>
      <c r="H13" s="6" t="s">
        <v>561</v>
      </c>
      <c r="I13" s="6" t="s">
        <v>10</v>
      </c>
      <c r="J13" s="6" t="s">
        <v>11</v>
      </c>
      <c r="K13" s="6" t="s">
        <v>12</v>
      </c>
    </row>
    <row r="14" spans="1:11" ht="13">
      <c r="A14" s="2">
        <v>100322</v>
      </c>
      <c r="B14" s="20">
        <v>11</v>
      </c>
      <c r="C14" s="2">
        <v>7</v>
      </c>
      <c r="D14" s="2">
        <f>VLOOKUP($C14,DEFINES!$A$2:$C$10,2,)</f>
        <v>1</v>
      </c>
      <c r="E14" s="2">
        <f>VLOOKUP($C14,DEFINES!$A$2:$C$10,3,)</f>
        <v>1</v>
      </c>
      <c r="F14" s="6" t="s">
        <v>509</v>
      </c>
      <c r="G14" s="6" t="s">
        <v>466</v>
      </c>
      <c r="H14" s="6" t="s">
        <v>562</v>
      </c>
      <c r="I14" s="6" t="s">
        <v>10</v>
      </c>
      <c r="J14" s="6" t="s">
        <v>11</v>
      </c>
      <c r="K14" s="6" t="s">
        <v>12</v>
      </c>
    </row>
    <row r="15" spans="1:11" ht="13">
      <c r="A15" s="2">
        <v>100323</v>
      </c>
      <c r="B15" s="20">
        <v>12</v>
      </c>
      <c r="C15" s="2">
        <v>7</v>
      </c>
      <c r="D15" s="2">
        <f>VLOOKUP($C15,DEFINES!$A$2:$C$10,2,)</f>
        <v>1</v>
      </c>
      <c r="E15" s="2">
        <f>VLOOKUP($C15,DEFINES!$A$2:$C$10,3,)</f>
        <v>1</v>
      </c>
      <c r="F15" s="6" t="s">
        <v>510</v>
      </c>
      <c r="G15" s="6" t="s">
        <v>467</v>
      </c>
      <c r="H15" s="6" t="s">
        <v>563</v>
      </c>
      <c r="I15" s="6" t="s">
        <v>10</v>
      </c>
      <c r="J15" s="6" t="s">
        <v>11</v>
      </c>
      <c r="K15" s="6" t="s">
        <v>12</v>
      </c>
    </row>
    <row r="16" spans="1:11" ht="13">
      <c r="A16" s="2">
        <v>100324</v>
      </c>
      <c r="B16" s="20">
        <v>13</v>
      </c>
      <c r="C16" s="2">
        <v>7</v>
      </c>
      <c r="D16" s="2">
        <f>VLOOKUP($C16,DEFINES!$A$2:$C$10,2,)</f>
        <v>1</v>
      </c>
      <c r="E16" s="2">
        <f>VLOOKUP($C16,DEFINES!$A$2:$C$10,3,)</f>
        <v>1</v>
      </c>
      <c r="F16" s="6" t="s">
        <v>511</v>
      </c>
      <c r="G16" s="6" t="s">
        <v>468</v>
      </c>
      <c r="H16" s="6" t="s">
        <v>564</v>
      </c>
      <c r="I16" s="6" t="s">
        <v>10</v>
      </c>
      <c r="J16" s="6" t="s">
        <v>11</v>
      </c>
      <c r="K16" s="6" t="s">
        <v>12</v>
      </c>
    </row>
    <row r="17" spans="1:11" ht="13">
      <c r="A17" s="2">
        <v>100325</v>
      </c>
      <c r="B17" s="21">
        <v>14</v>
      </c>
      <c r="C17" s="10">
        <v>7</v>
      </c>
      <c r="D17" s="2">
        <f>VLOOKUP($C17,DEFINES!$A$2:$C$10,2,)</f>
        <v>1</v>
      </c>
      <c r="E17" s="2">
        <f>VLOOKUP($C17,DEFINES!$A$2:$C$10,3,)</f>
        <v>1</v>
      </c>
      <c r="F17" s="11" t="s">
        <v>512</v>
      </c>
      <c r="G17" s="11" t="s">
        <v>469</v>
      </c>
      <c r="H17" s="11" t="s">
        <v>565</v>
      </c>
      <c r="I17" s="11" t="s">
        <v>10</v>
      </c>
      <c r="J17" s="11" t="s">
        <v>11</v>
      </c>
      <c r="K17" s="11" t="s">
        <v>12</v>
      </c>
    </row>
    <row r="18" spans="1:11" ht="13">
      <c r="A18" s="2">
        <v>100326</v>
      </c>
      <c r="B18" s="20">
        <v>15</v>
      </c>
      <c r="C18" s="2">
        <v>7</v>
      </c>
      <c r="D18" s="2">
        <f>VLOOKUP($C18,DEFINES!$A$2:$C$10,2,)</f>
        <v>1</v>
      </c>
      <c r="E18" s="2">
        <f>VLOOKUP($C18,DEFINES!$A$2:$C$10,3,)</f>
        <v>1</v>
      </c>
      <c r="F18" s="6" t="s">
        <v>513</v>
      </c>
      <c r="G18" s="6" t="s">
        <v>470</v>
      </c>
      <c r="H18" s="6" t="s">
        <v>566</v>
      </c>
      <c r="I18" s="6" t="s">
        <v>10</v>
      </c>
      <c r="J18" s="6" t="s">
        <v>11</v>
      </c>
      <c r="K18" s="6" t="s">
        <v>12</v>
      </c>
    </row>
    <row r="19" spans="1:11" ht="13">
      <c r="A19" s="2">
        <v>100327</v>
      </c>
      <c r="B19" s="20">
        <v>16</v>
      </c>
      <c r="C19" s="2">
        <v>7</v>
      </c>
      <c r="D19" s="2">
        <f>VLOOKUP($C19,DEFINES!$A$2:$C$10,2,)</f>
        <v>1</v>
      </c>
      <c r="E19" s="2">
        <f>VLOOKUP($C19,DEFINES!$A$2:$C$10,3,)</f>
        <v>1</v>
      </c>
      <c r="F19" s="6" t="s">
        <v>514</v>
      </c>
      <c r="G19" s="6" t="s">
        <v>471</v>
      </c>
      <c r="H19" s="6" t="s">
        <v>567</v>
      </c>
      <c r="I19" s="6" t="s">
        <v>10</v>
      </c>
      <c r="J19" s="6" t="s">
        <v>11</v>
      </c>
      <c r="K19" s="6" t="s">
        <v>12</v>
      </c>
    </row>
    <row r="20" spans="1:11" ht="13">
      <c r="A20" s="2">
        <v>100328</v>
      </c>
      <c r="B20" s="20">
        <v>17</v>
      </c>
      <c r="C20" s="2">
        <v>7</v>
      </c>
      <c r="D20" s="2">
        <f>VLOOKUP($C20,DEFINES!$A$2:$C$10,2,)</f>
        <v>1</v>
      </c>
      <c r="E20" s="2">
        <f>VLOOKUP($C20,DEFINES!$A$2:$C$10,3,)</f>
        <v>1</v>
      </c>
      <c r="F20" s="6" t="s">
        <v>515</v>
      </c>
      <c r="G20" s="6" t="s">
        <v>472</v>
      </c>
      <c r="H20" s="6" t="s">
        <v>568</v>
      </c>
      <c r="I20" s="6" t="s">
        <v>10</v>
      </c>
      <c r="J20" s="6" t="s">
        <v>11</v>
      </c>
      <c r="K20" s="6" t="s">
        <v>12</v>
      </c>
    </row>
    <row r="21" spans="1:11" ht="13">
      <c r="A21" s="2">
        <v>100329</v>
      </c>
      <c r="B21" s="22">
        <v>18</v>
      </c>
      <c r="C21" s="2">
        <v>7</v>
      </c>
      <c r="D21" s="2">
        <f>VLOOKUP($C21,DEFINES!$A$2:$C$10,2,)</f>
        <v>1</v>
      </c>
      <c r="E21" s="2">
        <f>VLOOKUP($C21,DEFINES!$A$2:$C$10,3,)</f>
        <v>1</v>
      </c>
      <c r="F21" s="6" t="s">
        <v>516</v>
      </c>
      <c r="G21" s="6" t="s">
        <v>473</v>
      </c>
      <c r="H21" s="6" t="s">
        <v>569</v>
      </c>
      <c r="I21" s="6" t="s">
        <v>10</v>
      </c>
      <c r="J21" s="6" t="s">
        <v>11</v>
      </c>
      <c r="K21" s="6" t="s">
        <v>12</v>
      </c>
    </row>
    <row r="22" spans="1:11" ht="13">
      <c r="A22" s="2">
        <v>100330</v>
      </c>
      <c r="B22" s="23">
        <v>19</v>
      </c>
      <c r="C22" s="2">
        <v>7</v>
      </c>
      <c r="D22" s="2">
        <f>VLOOKUP($C22,DEFINES!$A$2:$C$10,2,)</f>
        <v>1</v>
      </c>
      <c r="E22" s="2">
        <f>VLOOKUP($C22,DEFINES!$A$2:$C$10,3,)</f>
        <v>1</v>
      </c>
      <c r="F22" s="6" t="s">
        <v>517</v>
      </c>
      <c r="G22" s="6" t="s">
        <v>474</v>
      </c>
      <c r="H22" s="6" t="s">
        <v>570</v>
      </c>
      <c r="I22" s="6" t="s">
        <v>10</v>
      </c>
      <c r="J22" s="6" t="s">
        <v>11</v>
      </c>
      <c r="K22" s="6" t="s">
        <v>12</v>
      </c>
    </row>
    <row r="23" spans="1:11" ht="13">
      <c r="A23" s="2">
        <v>100331</v>
      </c>
      <c r="B23" s="24">
        <v>20</v>
      </c>
      <c r="C23" s="2">
        <v>7</v>
      </c>
      <c r="D23" s="2">
        <f>VLOOKUP($C23,DEFINES!$A$2:$C$10,2,)</f>
        <v>1</v>
      </c>
      <c r="E23" s="2">
        <f>VLOOKUP($C23,DEFINES!$A$2:$C$10,3,)</f>
        <v>1</v>
      </c>
      <c r="F23" s="6" t="s">
        <v>518</v>
      </c>
      <c r="G23" s="6" t="s">
        <v>475</v>
      </c>
      <c r="H23" s="6" t="s">
        <v>571</v>
      </c>
      <c r="I23" s="6" t="s">
        <v>10</v>
      </c>
      <c r="J23" s="6" t="s">
        <v>11</v>
      </c>
      <c r="K23" s="6" t="s">
        <v>12</v>
      </c>
    </row>
    <row r="24" spans="1:11" ht="13">
      <c r="A24" s="2">
        <v>100332</v>
      </c>
      <c r="B24" s="24">
        <v>21</v>
      </c>
      <c r="C24" s="2">
        <v>7</v>
      </c>
      <c r="D24" s="2">
        <f>VLOOKUP($C24,DEFINES!$A$2:$C$10,2,)</f>
        <v>1</v>
      </c>
      <c r="E24" s="2">
        <f>VLOOKUP($C24,DEFINES!$A$2:$C$10,3,)</f>
        <v>1</v>
      </c>
      <c r="F24" s="6" t="s">
        <v>546</v>
      </c>
      <c r="G24" s="6" t="s">
        <v>547</v>
      </c>
      <c r="H24" s="6" t="s">
        <v>572</v>
      </c>
      <c r="I24" s="6" t="s">
        <v>10</v>
      </c>
      <c r="J24" s="6" t="s">
        <v>11</v>
      </c>
      <c r="K24" s="6" t="s">
        <v>12</v>
      </c>
    </row>
    <row r="25" spans="1:11" ht="13">
      <c r="A25" s="2">
        <v>100333</v>
      </c>
      <c r="B25" s="25">
        <v>22</v>
      </c>
      <c r="C25" s="2">
        <v>7</v>
      </c>
      <c r="D25" s="2">
        <f>VLOOKUP($C25,DEFINES!$A$2:$C$10,2,)</f>
        <v>1</v>
      </c>
      <c r="E25" s="2">
        <f>VLOOKUP($C25,DEFINES!$A$2:$C$10,3,)</f>
        <v>1</v>
      </c>
      <c r="F25" s="6" t="s">
        <v>519</v>
      </c>
      <c r="G25" s="6" t="s">
        <v>476</v>
      </c>
      <c r="H25" s="6" t="s">
        <v>573</v>
      </c>
      <c r="I25" s="6" t="s">
        <v>10</v>
      </c>
      <c r="J25" s="6" t="s">
        <v>11</v>
      </c>
      <c r="K25" s="6" t="s">
        <v>12</v>
      </c>
    </row>
    <row r="26" spans="1:11" ht="13">
      <c r="A26" s="2">
        <v>100334</v>
      </c>
      <c r="B26" s="25">
        <v>23</v>
      </c>
      <c r="C26" s="2">
        <v>7</v>
      </c>
      <c r="D26" s="2">
        <f>VLOOKUP($C26,DEFINES!$A$2:$C$10,2,)</f>
        <v>1</v>
      </c>
      <c r="E26" s="2">
        <f>VLOOKUP($C26,DEFINES!$A$2:$C$10,3,)</f>
        <v>1</v>
      </c>
      <c r="F26" s="6" t="s">
        <v>520</v>
      </c>
      <c r="G26" s="6" t="s">
        <v>477</v>
      </c>
      <c r="H26" s="6" t="s">
        <v>574</v>
      </c>
      <c r="I26" s="6" t="s">
        <v>10</v>
      </c>
      <c r="J26" s="6" t="s">
        <v>11</v>
      </c>
      <c r="K26" s="6" t="s">
        <v>12</v>
      </c>
    </row>
    <row r="27" spans="1:11" ht="13">
      <c r="A27" s="2">
        <v>100335</v>
      </c>
      <c r="B27" s="25">
        <v>24</v>
      </c>
      <c r="C27" s="2">
        <v>7</v>
      </c>
      <c r="D27" s="2">
        <f>VLOOKUP($C27,DEFINES!$A$2:$C$10,2,)</f>
        <v>1</v>
      </c>
      <c r="E27" s="2">
        <f>VLOOKUP($C27,DEFINES!$A$2:$C$10,3,)</f>
        <v>1</v>
      </c>
      <c r="F27" s="6" t="s">
        <v>521</v>
      </c>
      <c r="G27" s="6" t="s">
        <v>478</v>
      </c>
      <c r="H27" s="6" t="s">
        <v>575</v>
      </c>
      <c r="I27" s="6" t="s">
        <v>10</v>
      </c>
      <c r="J27" s="6" t="s">
        <v>11</v>
      </c>
      <c r="K27" s="6" t="s">
        <v>12</v>
      </c>
    </row>
    <row r="28" spans="1:11" ht="13">
      <c r="A28" s="2">
        <v>100336</v>
      </c>
      <c r="B28" s="25">
        <v>25</v>
      </c>
      <c r="C28" s="2">
        <v>7</v>
      </c>
      <c r="D28" s="2">
        <f>VLOOKUP($C28,DEFINES!$A$2:$C$10,2,)</f>
        <v>1</v>
      </c>
      <c r="E28" s="2">
        <f>VLOOKUP($C28,DEFINES!$A$2:$C$10,3,)</f>
        <v>1</v>
      </c>
      <c r="F28" s="6" t="s">
        <v>522</v>
      </c>
      <c r="G28" s="6" t="s">
        <v>479</v>
      </c>
      <c r="H28" s="6" t="s">
        <v>576</v>
      </c>
      <c r="I28" s="6" t="s">
        <v>10</v>
      </c>
      <c r="J28" s="6" t="s">
        <v>11</v>
      </c>
      <c r="K28" s="6" t="s">
        <v>12</v>
      </c>
    </row>
    <row r="29" spans="1:11" ht="13">
      <c r="A29" s="2">
        <v>100337</v>
      </c>
      <c r="B29" s="25">
        <v>26</v>
      </c>
      <c r="C29" s="2">
        <v>7</v>
      </c>
      <c r="D29" s="2">
        <f>VLOOKUP($C29,DEFINES!$A$2:$C$10,2,)</f>
        <v>1</v>
      </c>
      <c r="E29" s="2">
        <f>VLOOKUP($C29,DEFINES!$A$2:$C$10,3,)</f>
        <v>1</v>
      </c>
      <c r="F29" s="6" t="s">
        <v>523</v>
      </c>
      <c r="G29" s="6" t="s">
        <v>480</v>
      </c>
      <c r="H29" s="6" t="s">
        <v>577</v>
      </c>
      <c r="I29" s="6" t="s">
        <v>10</v>
      </c>
      <c r="J29" s="6" t="s">
        <v>11</v>
      </c>
      <c r="K29" s="6" t="s">
        <v>12</v>
      </c>
    </row>
    <row r="30" spans="1:11" ht="13">
      <c r="A30" s="2">
        <v>100338</v>
      </c>
      <c r="B30" s="25">
        <v>27</v>
      </c>
      <c r="C30" s="2">
        <v>7</v>
      </c>
      <c r="D30" s="2">
        <f>VLOOKUP($C30,DEFINES!$A$2:$C$10,2,)</f>
        <v>1</v>
      </c>
      <c r="E30" s="2">
        <f>VLOOKUP($C30,DEFINES!$A$2:$C$10,3,)</f>
        <v>1</v>
      </c>
      <c r="F30" s="6" t="s">
        <v>524</v>
      </c>
      <c r="G30" s="6" t="s">
        <v>481</v>
      </c>
      <c r="H30" s="6" t="s">
        <v>578</v>
      </c>
      <c r="I30" s="6" t="s">
        <v>10</v>
      </c>
      <c r="J30" s="6" t="s">
        <v>11</v>
      </c>
      <c r="K30" s="6" t="s">
        <v>12</v>
      </c>
    </row>
    <row r="31" spans="1:11" ht="13">
      <c r="A31" s="2">
        <v>100339</v>
      </c>
      <c r="B31" s="25">
        <v>28</v>
      </c>
      <c r="C31" s="2">
        <v>7</v>
      </c>
      <c r="D31" s="2">
        <f>VLOOKUP($C31,DEFINES!$A$2:$C$10,2,)</f>
        <v>1</v>
      </c>
      <c r="E31" s="2">
        <f>VLOOKUP($C31,DEFINES!$A$2:$C$10,3,)</f>
        <v>1</v>
      </c>
      <c r="F31" s="6" t="s">
        <v>524</v>
      </c>
      <c r="G31" s="6" t="s">
        <v>482</v>
      </c>
      <c r="H31" s="6" t="s">
        <v>579</v>
      </c>
      <c r="I31" s="6" t="s">
        <v>10</v>
      </c>
      <c r="J31" s="6" t="s">
        <v>11</v>
      </c>
      <c r="K31" s="6" t="s">
        <v>12</v>
      </c>
    </row>
    <row r="32" spans="1:11" ht="13">
      <c r="A32" s="2">
        <v>100340</v>
      </c>
      <c r="B32" s="2">
        <v>29</v>
      </c>
      <c r="C32" s="2">
        <v>7</v>
      </c>
      <c r="D32" s="2">
        <f>VLOOKUP($C32,DEFINES!$A$2:$C$10,2,)</f>
        <v>1</v>
      </c>
      <c r="E32" s="2">
        <f>VLOOKUP($C32,DEFINES!$A$2:$C$10,3,)</f>
        <v>1</v>
      </c>
      <c r="F32" s="6" t="s">
        <v>525</v>
      </c>
      <c r="G32" s="6" t="s">
        <v>483</v>
      </c>
      <c r="H32" s="6" t="s">
        <v>580</v>
      </c>
      <c r="I32" s="6" t="s">
        <v>10</v>
      </c>
      <c r="J32" s="6" t="s">
        <v>11</v>
      </c>
      <c r="K32" s="6" t="s">
        <v>12</v>
      </c>
    </row>
    <row r="33" spans="1:11" ht="13">
      <c r="A33" s="2">
        <v>100341</v>
      </c>
      <c r="B33" s="26">
        <v>30</v>
      </c>
      <c r="C33" s="2">
        <v>7</v>
      </c>
      <c r="D33" s="2">
        <f>VLOOKUP($C33,DEFINES!$A$2:$C$10,2,)</f>
        <v>1</v>
      </c>
      <c r="E33" s="2">
        <f>VLOOKUP($C33,DEFINES!$A$2:$C$10,3,)</f>
        <v>1</v>
      </c>
      <c r="F33" s="6" t="s">
        <v>526</v>
      </c>
      <c r="G33" s="6" t="s">
        <v>484</v>
      </c>
      <c r="H33" s="6" t="s">
        <v>581</v>
      </c>
      <c r="I33" s="6" t="s">
        <v>10</v>
      </c>
      <c r="J33" s="6" t="s">
        <v>11</v>
      </c>
      <c r="K33" s="6" t="s">
        <v>12</v>
      </c>
    </row>
    <row r="34" spans="1:11" ht="13">
      <c r="A34" s="2">
        <v>100342</v>
      </c>
      <c r="B34" s="26">
        <v>31</v>
      </c>
      <c r="C34" s="2">
        <v>7</v>
      </c>
      <c r="D34" s="2">
        <f>VLOOKUP($C34,DEFINES!$A$2:$C$10,2,)</f>
        <v>1</v>
      </c>
      <c r="E34" s="2">
        <f>VLOOKUP($C34,DEFINES!$A$2:$C$10,3,)</f>
        <v>1</v>
      </c>
      <c r="F34" s="6" t="s">
        <v>527</v>
      </c>
      <c r="G34" s="6" t="s">
        <v>485</v>
      </c>
      <c r="H34" s="6" t="s">
        <v>582</v>
      </c>
      <c r="I34" s="6" t="s">
        <v>10</v>
      </c>
      <c r="J34" s="6" t="s">
        <v>11</v>
      </c>
      <c r="K34" s="6" t="s">
        <v>12</v>
      </c>
    </row>
    <row r="35" spans="1:11" ht="13">
      <c r="A35" s="2">
        <v>100343</v>
      </c>
      <c r="B35" s="26">
        <v>32</v>
      </c>
      <c r="C35" s="2">
        <v>7</v>
      </c>
      <c r="D35" s="2">
        <f>VLOOKUP($C35,DEFINES!$A$2:$C$10,2,)</f>
        <v>1</v>
      </c>
      <c r="E35" s="2">
        <f>VLOOKUP($C35,DEFINES!$A$2:$C$10,3,)</f>
        <v>1</v>
      </c>
      <c r="F35" s="6" t="s">
        <v>528</v>
      </c>
      <c r="G35" s="6" t="s">
        <v>486</v>
      </c>
      <c r="H35" s="6" t="s">
        <v>583</v>
      </c>
      <c r="I35" s="6" t="s">
        <v>10</v>
      </c>
      <c r="J35" s="6" t="s">
        <v>11</v>
      </c>
      <c r="K35" s="6" t="s">
        <v>12</v>
      </c>
    </row>
    <row r="36" spans="1:11" ht="13">
      <c r="A36" s="2">
        <v>100344</v>
      </c>
      <c r="B36" s="26">
        <v>33</v>
      </c>
      <c r="C36" s="2">
        <v>7</v>
      </c>
      <c r="D36" s="2">
        <f>VLOOKUP($C36,DEFINES!$A$2:$C$10,2,)</f>
        <v>1</v>
      </c>
      <c r="E36" s="2">
        <f>VLOOKUP($C36,DEFINES!$A$2:$C$10,3,)</f>
        <v>1</v>
      </c>
      <c r="F36" s="6" t="s">
        <v>529</v>
      </c>
      <c r="G36" s="6" t="s">
        <v>487</v>
      </c>
      <c r="H36" s="6" t="s">
        <v>584</v>
      </c>
      <c r="I36" s="6" t="s">
        <v>10</v>
      </c>
      <c r="J36" s="6" t="s">
        <v>11</v>
      </c>
      <c r="K36" s="6" t="s">
        <v>12</v>
      </c>
    </row>
    <row r="37" spans="1:11" ht="13.5" customHeight="1">
      <c r="A37" s="2">
        <v>100345</v>
      </c>
      <c r="B37" s="26">
        <v>34</v>
      </c>
      <c r="C37" s="2">
        <v>7</v>
      </c>
      <c r="D37" s="2">
        <f>VLOOKUP($C37,DEFINES!$A$2:$C$10,2,)</f>
        <v>1</v>
      </c>
      <c r="E37" s="2">
        <f>VLOOKUP($C37,DEFINES!$A$2:$C$10,3,)</f>
        <v>1</v>
      </c>
      <c r="F37" s="6" t="s">
        <v>530</v>
      </c>
      <c r="G37" s="6" t="s">
        <v>488</v>
      </c>
      <c r="H37" s="6" t="s">
        <v>585</v>
      </c>
      <c r="I37" s="6" t="s">
        <v>10</v>
      </c>
      <c r="J37" s="6" t="s">
        <v>11</v>
      </c>
      <c r="K37" s="6" t="s">
        <v>12</v>
      </c>
    </row>
    <row r="38" spans="1:11" ht="13">
      <c r="A38" s="2">
        <v>100346</v>
      </c>
      <c r="B38" s="26">
        <v>35</v>
      </c>
      <c r="C38" s="2">
        <v>7</v>
      </c>
      <c r="D38" s="2">
        <f>VLOOKUP($C38,DEFINES!$A$2:$C$10,2,)</f>
        <v>1</v>
      </c>
      <c r="E38" s="2">
        <f>VLOOKUP($C38,DEFINES!$A$2:$C$10,3,)</f>
        <v>1</v>
      </c>
      <c r="F38" s="6" t="s">
        <v>531</v>
      </c>
      <c r="G38" s="6" t="s">
        <v>489</v>
      </c>
      <c r="H38" s="6" t="s">
        <v>586</v>
      </c>
      <c r="I38" s="6" t="s">
        <v>10</v>
      </c>
      <c r="J38" s="6" t="s">
        <v>11</v>
      </c>
      <c r="K38" s="6" t="s">
        <v>12</v>
      </c>
    </row>
    <row r="39" spans="1:11" ht="13">
      <c r="A39" s="2">
        <v>100347</v>
      </c>
      <c r="B39" s="27">
        <v>36</v>
      </c>
      <c r="C39" s="2">
        <v>7</v>
      </c>
      <c r="D39" s="2">
        <f>VLOOKUP($C39,DEFINES!$A$2:$C$10,2,)</f>
        <v>1</v>
      </c>
      <c r="E39" s="2">
        <f>VLOOKUP($C39,DEFINES!$A$2:$C$10,3,)</f>
        <v>1</v>
      </c>
      <c r="F39" s="6" t="s">
        <v>532</v>
      </c>
      <c r="G39" s="6" t="s">
        <v>490</v>
      </c>
      <c r="H39" s="6" t="s">
        <v>587</v>
      </c>
      <c r="I39" s="6" t="s">
        <v>10</v>
      </c>
      <c r="J39" s="6" t="s">
        <v>11</v>
      </c>
      <c r="K39" s="6" t="s">
        <v>12</v>
      </c>
    </row>
    <row r="40" spans="1:11" ht="13">
      <c r="A40" s="2">
        <v>100348</v>
      </c>
      <c r="B40" s="27">
        <v>37</v>
      </c>
      <c r="C40" s="2">
        <v>7</v>
      </c>
      <c r="D40" s="2">
        <f>VLOOKUP($C40,DEFINES!$A$2:$C$10,2,)</f>
        <v>1</v>
      </c>
      <c r="E40" s="2">
        <f>VLOOKUP($C40,DEFINES!$A$2:$C$10,3,)</f>
        <v>1</v>
      </c>
      <c r="F40" s="6" t="s">
        <v>532</v>
      </c>
      <c r="G40" s="6" t="s">
        <v>490</v>
      </c>
      <c r="H40" s="6" t="s">
        <v>588</v>
      </c>
      <c r="I40" s="6"/>
      <c r="J40" s="6"/>
      <c r="K40" s="6"/>
    </row>
    <row r="41" spans="1:11" ht="13">
      <c r="A41" s="2">
        <v>100349</v>
      </c>
      <c r="B41" s="27">
        <v>38</v>
      </c>
      <c r="C41" s="2">
        <v>7</v>
      </c>
      <c r="D41" s="2">
        <f>VLOOKUP($C41,DEFINES!$A$2:$C$10,2,)</f>
        <v>1</v>
      </c>
      <c r="E41" s="2">
        <f>VLOOKUP($C41,DEFINES!$A$2:$C$10,3,)</f>
        <v>1</v>
      </c>
      <c r="F41" s="6" t="s">
        <v>533</v>
      </c>
      <c r="G41" s="6" t="s">
        <v>491</v>
      </c>
      <c r="H41" s="6" t="s">
        <v>589</v>
      </c>
      <c r="I41" s="6"/>
      <c r="J41" s="6"/>
      <c r="K41" s="6"/>
    </row>
    <row r="42" spans="1:11" ht="13">
      <c r="A42" s="2">
        <v>100350</v>
      </c>
      <c r="B42" s="27">
        <v>39</v>
      </c>
      <c r="C42" s="2">
        <v>7</v>
      </c>
      <c r="D42" s="2">
        <f>VLOOKUP($C42,DEFINES!$A$2:$C$10,2,)</f>
        <v>1</v>
      </c>
      <c r="E42" s="2">
        <f>VLOOKUP($C42,DEFINES!$A$2:$C$10,3,)</f>
        <v>1</v>
      </c>
      <c r="F42" s="6" t="s">
        <v>534</v>
      </c>
      <c r="G42" s="6" t="s">
        <v>492</v>
      </c>
      <c r="H42" s="6" t="s">
        <v>590</v>
      </c>
      <c r="I42" s="6"/>
      <c r="J42" s="6"/>
      <c r="K42" s="6"/>
    </row>
    <row r="43" spans="1:11" ht="13">
      <c r="A43" s="2">
        <v>100351</v>
      </c>
      <c r="B43" s="27">
        <v>40</v>
      </c>
      <c r="C43" s="2">
        <v>7</v>
      </c>
      <c r="D43" s="2">
        <f>VLOOKUP($C43,DEFINES!$A$2:$C$10,2,)</f>
        <v>1</v>
      </c>
      <c r="E43" s="2">
        <f>VLOOKUP($C43,DEFINES!$A$2:$C$10,3,)</f>
        <v>1</v>
      </c>
      <c r="F43" s="6" t="s">
        <v>535</v>
      </c>
      <c r="G43" s="6" t="s">
        <v>493</v>
      </c>
      <c r="H43" s="6" t="s">
        <v>591</v>
      </c>
      <c r="I43" s="6"/>
      <c r="J43" s="6"/>
      <c r="K43" s="6"/>
    </row>
    <row r="44" spans="1:11" ht="13">
      <c r="A44" s="2">
        <v>100352</v>
      </c>
      <c r="B44" s="27">
        <v>41</v>
      </c>
      <c r="C44" s="2">
        <v>7</v>
      </c>
      <c r="D44" s="2">
        <f>VLOOKUP($C44,DEFINES!$A$2:$C$10,2,)</f>
        <v>1</v>
      </c>
      <c r="E44" s="2">
        <f>VLOOKUP($C44,DEFINES!$A$2:$C$10,3,)</f>
        <v>1</v>
      </c>
      <c r="F44" s="6" t="s">
        <v>536</v>
      </c>
      <c r="G44" s="6" t="s">
        <v>494</v>
      </c>
      <c r="H44" s="6" t="s">
        <v>592</v>
      </c>
      <c r="I44" s="6"/>
      <c r="J44" s="6"/>
      <c r="K44" s="6"/>
    </row>
    <row r="45" spans="1:11" ht="13">
      <c r="A45" s="2">
        <v>100353</v>
      </c>
      <c r="B45" s="27">
        <v>42</v>
      </c>
      <c r="C45" s="2">
        <v>7</v>
      </c>
      <c r="D45" s="2">
        <f>VLOOKUP($C45,DEFINES!$A$2:$C$10,2,)</f>
        <v>1</v>
      </c>
      <c r="E45" s="2">
        <f>VLOOKUP($C45,DEFINES!$A$2:$C$10,3,)</f>
        <v>1</v>
      </c>
      <c r="F45" s="6" t="s">
        <v>537</v>
      </c>
      <c r="G45" s="6" t="s">
        <v>495</v>
      </c>
      <c r="H45" s="6" t="s">
        <v>593</v>
      </c>
      <c r="I45" s="6"/>
      <c r="J45" s="6"/>
      <c r="K45" s="6"/>
    </row>
    <row r="46" spans="1:11" ht="13">
      <c r="A46" s="2">
        <v>100354</v>
      </c>
      <c r="B46" s="27">
        <v>43</v>
      </c>
      <c r="C46" s="2">
        <v>7</v>
      </c>
      <c r="D46" s="2">
        <f>VLOOKUP($C46,DEFINES!$A$2:$C$10,2,)</f>
        <v>1</v>
      </c>
      <c r="E46" s="2">
        <f>VLOOKUP($C46,DEFINES!$A$2:$C$10,3,)</f>
        <v>1</v>
      </c>
      <c r="F46" s="6" t="s">
        <v>538</v>
      </c>
      <c r="G46" s="6" t="s">
        <v>496</v>
      </c>
      <c r="H46" s="6" t="s">
        <v>594</v>
      </c>
      <c r="I46" s="6"/>
      <c r="J46" s="6"/>
      <c r="K46" s="6"/>
    </row>
    <row r="47" spans="1:11" ht="13">
      <c r="A47" s="2">
        <v>100355</v>
      </c>
      <c r="B47" s="27">
        <v>44</v>
      </c>
      <c r="C47" s="2">
        <v>7</v>
      </c>
      <c r="D47" s="2">
        <f>VLOOKUP($C47,DEFINES!$A$2:$C$10,2,)</f>
        <v>1</v>
      </c>
      <c r="E47" s="2">
        <f>VLOOKUP($C47,DEFINES!$A$2:$C$10,3,)</f>
        <v>1</v>
      </c>
      <c r="F47" s="6" t="s">
        <v>539</v>
      </c>
      <c r="G47" s="6" t="s">
        <v>497</v>
      </c>
      <c r="H47" s="6" t="s">
        <v>595</v>
      </c>
      <c r="I47" s="6"/>
      <c r="J47" s="6"/>
      <c r="K47" s="6"/>
    </row>
    <row r="48" spans="1:11" ht="13">
      <c r="A48" s="2">
        <v>100356</v>
      </c>
      <c r="B48" s="27">
        <v>45</v>
      </c>
      <c r="C48" s="2">
        <v>7</v>
      </c>
      <c r="D48" s="2">
        <f>VLOOKUP($C48,DEFINES!$A$2:$C$10,2,)</f>
        <v>1</v>
      </c>
      <c r="E48" s="2">
        <f>VLOOKUP($C48,DEFINES!$A$2:$C$10,3,)</f>
        <v>1</v>
      </c>
      <c r="F48" s="6" t="s">
        <v>540</v>
      </c>
      <c r="G48" s="6" t="s">
        <v>498</v>
      </c>
      <c r="H48" s="6" t="s">
        <v>596</v>
      </c>
      <c r="I48" s="6"/>
      <c r="J48" s="6"/>
      <c r="K48" s="6"/>
    </row>
    <row r="49" spans="1:11">
      <c r="A49" s="2">
        <v>100357</v>
      </c>
      <c r="B49" s="2"/>
      <c r="C49" s="2"/>
      <c r="D49" s="2"/>
      <c r="E49" s="2"/>
      <c r="F49" s="6"/>
      <c r="G49" s="6"/>
      <c r="H49" s="6"/>
      <c r="I49" s="6"/>
      <c r="J49" s="6"/>
      <c r="K49" s="6"/>
    </row>
    <row r="50" spans="1:11">
      <c r="A50" s="2">
        <v>100358</v>
      </c>
      <c r="B50" s="2"/>
      <c r="C50" s="2"/>
      <c r="D50" s="2"/>
      <c r="E50" s="2"/>
      <c r="F50" s="6"/>
      <c r="G50" s="6"/>
      <c r="H50" s="6"/>
      <c r="I50" s="6"/>
      <c r="J50" s="6"/>
      <c r="K50" s="6"/>
    </row>
    <row r="51" spans="1:11">
      <c r="A51" s="2">
        <v>100359</v>
      </c>
      <c r="B51" s="2"/>
      <c r="C51" s="2"/>
      <c r="D51" s="2"/>
      <c r="E51" s="2"/>
      <c r="F51" s="6"/>
      <c r="G51" s="6"/>
      <c r="H51" s="6"/>
      <c r="I51" s="6"/>
      <c r="J51" s="6"/>
      <c r="K51" s="6"/>
    </row>
    <row r="52" spans="1:11">
      <c r="A52" s="2">
        <v>100360</v>
      </c>
      <c r="B52" s="2"/>
      <c r="C52" s="2"/>
      <c r="D52" s="2"/>
      <c r="E52" s="2"/>
      <c r="F52" s="6"/>
      <c r="G52" s="6"/>
      <c r="H52" s="6"/>
      <c r="I52" s="6"/>
      <c r="J52" s="6"/>
      <c r="K52" s="6"/>
    </row>
    <row r="53" spans="1:11">
      <c r="A53" s="2">
        <v>100361</v>
      </c>
      <c r="B53" s="2"/>
      <c r="C53" s="2"/>
      <c r="D53" s="2"/>
      <c r="E53" s="2"/>
      <c r="F53" s="6"/>
      <c r="G53" s="6"/>
      <c r="H53" s="6"/>
      <c r="I53" s="6"/>
      <c r="J53" s="6"/>
      <c r="K53" s="6"/>
    </row>
    <row r="54" spans="1:11">
      <c r="A54" s="2">
        <v>100362</v>
      </c>
      <c r="B54" s="2"/>
      <c r="C54" s="2"/>
      <c r="D54" s="2"/>
      <c r="E54" s="2"/>
      <c r="F54" s="6"/>
      <c r="G54" s="6"/>
      <c r="H54" s="6"/>
      <c r="I54" s="6"/>
      <c r="J54" s="6"/>
      <c r="K54" s="6"/>
    </row>
    <row r="55" spans="1:11">
      <c r="A55" s="2">
        <v>100363</v>
      </c>
      <c r="B55" s="2"/>
      <c r="C55" s="2"/>
      <c r="D55" s="2"/>
      <c r="E55" s="2"/>
      <c r="F55" s="6"/>
      <c r="G55" s="6"/>
      <c r="H55" s="6"/>
      <c r="I55" s="6"/>
      <c r="J55" s="6"/>
      <c r="K55" s="6"/>
    </row>
    <row r="56" spans="1:11">
      <c r="A56" s="2">
        <v>100364</v>
      </c>
      <c r="B56" s="2"/>
      <c r="C56" s="2"/>
      <c r="D56" s="2"/>
      <c r="E56" s="2"/>
      <c r="F56" s="6"/>
      <c r="G56" s="6"/>
      <c r="H56" s="6"/>
      <c r="I56" s="6"/>
      <c r="J56" s="6"/>
      <c r="K56" s="6"/>
    </row>
    <row r="57" spans="1:11">
      <c r="A57" s="2">
        <v>100365</v>
      </c>
      <c r="B57" s="2"/>
      <c r="C57" s="2"/>
      <c r="D57" s="2"/>
      <c r="E57" s="2"/>
      <c r="F57" s="6"/>
      <c r="G57" s="6"/>
      <c r="H57" s="6"/>
      <c r="I57" s="6"/>
      <c r="J57" s="6"/>
      <c r="K57" s="6"/>
    </row>
    <row r="58" spans="1:11">
      <c r="A58" s="2">
        <v>100366</v>
      </c>
      <c r="B58" s="2"/>
      <c r="C58" s="2"/>
      <c r="D58" s="2"/>
      <c r="E58" s="2"/>
      <c r="F58" s="6"/>
      <c r="G58" s="6"/>
      <c r="H58" s="6"/>
      <c r="I58" s="6"/>
      <c r="J58" s="6"/>
      <c r="K58" s="6"/>
    </row>
    <row r="59" spans="1:11">
      <c r="A59" s="2">
        <v>100367</v>
      </c>
      <c r="B59" s="2"/>
      <c r="C59" s="2"/>
      <c r="D59" s="2"/>
      <c r="E59" s="2"/>
      <c r="F59" s="6"/>
      <c r="G59" s="6"/>
      <c r="H59" s="6"/>
      <c r="I59" s="6"/>
      <c r="J59" s="6"/>
      <c r="K59" s="6"/>
    </row>
    <row r="60" spans="1:11">
      <c r="A60" s="2">
        <v>100368</v>
      </c>
      <c r="B60" s="2"/>
      <c r="C60" s="2"/>
      <c r="D60" s="2"/>
      <c r="E60" s="2"/>
      <c r="F60" s="6"/>
      <c r="G60" s="6"/>
      <c r="H60" s="6"/>
      <c r="I60" s="6"/>
      <c r="J60" s="6"/>
      <c r="K60" s="6"/>
    </row>
    <row r="61" spans="1:11">
      <c r="A61" s="2">
        <v>100369</v>
      </c>
      <c r="B61" s="2"/>
      <c r="C61" s="2"/>
      <c r="D61" s="2"/>
      <c r="E61" s="2"/>
      <c r="F61" s="6"/>
      <c r="G61" s="6"/>
      <c r="H61" s="6"/>
      <c r="I61" s="6"/>
      <c r="J61" s="6"/>
      <c r="K61" s="6"/>
    </row>
    <row r="62" spans="1:11">
      <c r="A62" s="2">
        <v>100370</v>
      </c>
      <c r="B62" s="2"/>
      <c r="C62" s="2"/>
      <c r="D62" s="2"/>
      <c r="E62" s="2"/>
      <c r="F62" s="3"/>
      <c r="G62" s="3"/>
      <c r="H62" s="3"/>
      <c r="I62" s="3"/>
      <c r="J62" s="3"/>
      <c r="K62" s="3"/>
    </row>
    <row r="63" spans="1:11">
      <c r="A63" s="2">
        <v>100371</v>
      </c>
      <c r="B63" s="2"/>
      <c r="C63" s="2"/>
      <c r="D63" s="2"/>
      <c r="E63" s="2"/>
      <c r="F63" s="3"/>
      <c r="G63" s="3"/>
      <c r="H63" s="3"/>
      <c r="I63" s="3"/>
      <c r="J63" s="3"/>
      <c r="K63" s="3"/>
    </row>
    <row r="64" spans="1:11">
      <c r="A64" s="2">
        <v>100372</v>
      </c>
    </row>
    <row r="65" spans="1:1">
      <c r="A65" s="2">
        <v>100373</v>
      </c>
    </row>
    <row r="66" spans="1:1">
      <c r="A66" s="2">
        <v>100374</v>
      </c>
    </row>
    <row r="67" spans="1:1">
      <c r="A67" s="2">
        <v>100375</v>
      </c>
    </row>
    <row r="68" spans="1:1">
      <c r="A68" s="2">
        <v>100376</v>
      </c>
    </row>
    <row r="69" spans="1:1">
      <c r="A69" s="2">
        <v>100377</v>
      </c>
    </row>
    <row r="70" spans="1:1">
      <c r="A70" s="2">
        <v>100378</v>
      </c>
    </row>
    <row r="71" spans="1:1">
      <c r="A71" s="2">
        <v>100379</v>
      </c>
    </row>
    <row r="72" spans="1:1">
      <c r="A72" s="2">
        <v>100380</v>
      </c>
    </row>
    <row r="73" spans="1:1">
      <c r="A73" s="2">
        <v>100381</v>
      </c>
    </row>
    <row r="74" spans="1:1">
      <c r="A74" s="2">
        <v>100382</v>
      </c>
    </row>
    <row r="75" spans="1:1">
      <c r="A75" s="2">
        <v>100383</v>
      </c>
    </row>
    <row r="76" spans="1:1">
      <c r="A76" s="2">
        <v>100384</v>
      </c>
    </row>
    <row r="77" spans="1:1">
      <c r="A77" s="2">
        <v>100385</v>
      </c>
    </row>
    <row r="78" spans="1:1">
      <c r="A78" s="2">
        <v>100386</v>
      </c>
    </row>
    <row r="79" spans="1:1">
      <c r="A79" s="2">
        <v>100387</v>
      </c>
    </row>
    <row r="80" spans="1:1">
      <c r="A80" s="2">
        <v>100388</v>
      </c>
    </row>
    <row r="81" spans="1:1">
      <c r="A81" s="2">
        <v>100389</v>
      </c>
    </row>
    <row r="82" spans="1:1">
      <c r="A82" s="2">
        <v>100390</v>
      </c>
    </row>
    <row r="83" spans="1:1">
      <c r="A83" s="2">
        <v>100391</v>
      </c>
    </row>
    <row r="84" spans="1:1">
      <c r="A84" s="2">
        <v>100392</v>
      </c>
    </row>
    <row r="85" spans="1:1">
      <c r="A85" s="2">
        <v>100393</v>
      </c>
    </row>
    <row r="86" spans="1:1">
      <c r="A86" s="2">
        <v>100394</v>
      </c>
    </row>
    <row r="87" spans="1:1">
      <c r="A87" s="2">
        <v>100395</v>
      </c>
    </row>
    <row r="88" spans="1:1">
      <c r="A88" s="2">
        <v>100396</v>
      </c>
    </row>
    <row r="89" spans="1:1">
      <c r="A89" s="2">
        <v>100397</v>
      </c>
    </row>
    <row r="90" spans="1:1">
      <c r="A90" s="2">
        <v>100398</v>
      </c>
    </row>
    <row r="91" spans="1:1">
      <c r="A91" s="2">
        <v>100399</v>
      </c>
    </row>
  </sheetData>
  <pageMargins left="0.7" right="0.7" top="0.78740157499999996" bottom="0.78740157499999996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40">
    <tabColor theme="1"/>
  </sheetPr>
  <dimension ref="A1:K200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G13" sqref="G13"/>
    </sheetView>
  </sheetViews>
  <sheetFormatPr defaultColWidth="11.453125" defaultRowHeight="12.5" outlineLevelCol="1"/>
  <cols>
    <col min="3" max="5" width="11.453125" customWidth="1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101000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>
        <v>101001</v>
      </c>
      <c r="B3" s="5"/>
      <c r="C3" s="8" t="s">
        <v>2</v>
      </c>
      <c r="D3" s="2" t="s">
        <v>2</v>
      </c>
      <c r="E3" s="2" t="s">
        <v>2</v>
      </c>
      <c r="F3" s="6" t="s">
        <v>77</v>
      </c>
      <c r="G3" s="3" t="s">
        <v>292</v>
      </c>
      <c r="H3" s="3" t="s">
        <v>292</v>
      </c>
      <c r="I3" s="3" t="s">
        <v>292</v>
      </c>
      <c r="J3" s="7" t="s">
        <v>45</v>
      </c>
      <c r="K3" s="7" t="s">
        <v>46</v>
      </c>
    </row>
    <row r="4" spans="1:11">
      <c r="A4" s="2">
        <v>101003</v>
      </c>
      <c r="B4" s="2">
        <v>1</v>
      </c>
      <c r="C4" s="2">
        <v>7</v>
      </c>
      <c r="D4" s="2">
        <f>VLOOKUP($C4,DEFINES!$A$2:$C$10,2,)</f>
        <v>1</v>
      </c>
      <c r="E4" s="2">
        <f>VLOOKUP($C4,DEFINES!$A$2:$C$10,3,)</f>
        <v>1</v>
      </c>
      <c r="F4" s="6" t="s">
        <v>82</v>
      </c>
      <c r="G4" s="6" t="s">
        <v>85</v>
      </c>
      <c r="H4" s="6" t="s">
        <v>85</v>
      </c>
      <c r="I4" s="6" t="s">
        <v>40</v>
      </c>
      <c r="J4" s="6" t="s">
        <v>41</v>
      </c>
      <c r="K4" s="6" t="s">
        <v>42</v>
      </c>
    </row>
    <row r="5" spans="1:11">
      <c r="A5" s="2">
        <v>101004</v>
      </c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3" t="s">
        <v>83</v>
      </c>
      <c r="G5" s="6" t="s">
        <v>81</v>
      </c>
      <c r="H5" s="6" t="s">
        <v>81</v>
      </c>
      <c r="I5" s="6" t="s">
        <v>40</v>
      </c>
      <c r="J5" s="6" t="s">
        <v>41</v>
      </c>
      <c r="K5" s="6" t="s">
        <v>42</v>
      </c>
    </row>
    <row r="6" spans="1:11">
      <c r="A6" s="2">
        <v>101005</v>
      </c>
      <c r="B6" s="2">
        <v>3</v>
      </c>
      <c r="C6" s="2">
        <v>3</v>
      </c>
      <c r="D6" s="2">
        <f>VLOOKUP($C6,DEFINES!$A$2:$C$10,2,)</f>
        <v>3</v>
      </c>
      <c r="E6" s="2">
        <f>VLOOKUP($C6,DEFINES!$A$2:$C$10,3,)</f>
        <v>0</v>
      </c>
      <c r="F6" s="6" t="s">
        <v>84</v>
      </c>
      <c r="G6" s="6" t="s">
        <v>241</v>
      </c>
      <c r="H6" s="6" t="s">
        <v>241</v>
      </c>
      <c r="I6" s="6" t="s">
        <v>40</v>
      </c>
      <c r="J6" s="6" t="s">
        <v>41</v>
      </c>
      <c r="K6" s="6" t="s">
        <v>42</v>
      </c>
    </row>
    <row r="7" spans="1:11">
      <c r="A7" s="2">
        <v>101006</v>
      </c>
      <c r="B7" s="2">
        <v>4</v>
      </c>
      <c r="C7" s="2">
        <v>4</v>
      </c>
      <c r="D7" s="2">
        <f>VLOOKUP($C7,DEFINES!$A$2:$C$10,2,)</f>
        <v>3</v>
      </c>
      <c r="E7" s="2">
        <f>VLOOKUP($C7,DEFINES!$A$2:$C$10,3,)</f>
        <v>0</v>
      </c>
      <c r="F7" s="3" t="s">
        <v>240</v>
      </c>
      <c r="G7" s="3" t="s">
        <v>607</v>
      </c>
      <c r="H7" s="3" t="s">
        <v>239</v>
      </c>
      <c r="I7" s="6" t="s">
        <v>40</v>
      </c>
      <c r="J7" s="6" t="s">
        <v>41</v>
      </c>
      <c r="K7" s="6" t="s">
        <v>42</v>
      </c>
    </row>
    <row r="8" spans="1:11">
      <c r="A8" s="2">
        <v>101007</v>
      </c>
      <c r="B8" s="2">
        <v>5</v>
      </c>
      <c r="C8" s="2">
        <v>4</v>
      </c>
      <c r="D8" s="2">
        <f>VLOOKUP($C8,DEFINES!$A$2:$C$10,2,)</f>
        <v>3</v>
      </c>
      <c r="E8" s="2">
        <f>VLOOKUP($C8,DEFINES!$A$2:$C$10,3,)</f>
        <v>0</v>
      </c>
      <c r="F8" s="3" t="s">
        <v>238</v>
      </c>
      <c r="G8" s="3" t="s">
        <v>608</v>
      </c>
      <c r="H8" s="3" t="s">
        <v>237</v>
      </c>
      <c r="I8" s="6" t="s">
        <v>40</v>
      </c>
      <c r="J8" s="6" t="s">
        <v>41</v>
      </c>
      <c r="K8" s="6" t="s">
        <v>42</v>
      </c>
    </row>
    <row r="9" spans="1:11">
      <c r="A9" s="2">
        <v>101008</v>
      </c>
      <c r="B9" s="2">
        <v>6</v>
      </c>
      <c r="C9" s="2">
        <f>TCEVENTCLASS_ALARM</f>
        <v>7</v>
      </c>
      <c r="D9" s="2">
        <f>VLOOKUP($C9,DEFINES!$A$2:$C$10,2,)</f>
        <v>1</v>
      </c>
      <c r="E9" s="2">
        <f>VLOOKUP($C9,DEFINES!$A$2:$C$10,3,)</f>
        <v>1</v>
      </c>
      <c r="F9" s="3" t="s">
        <v>138</v>
      </c>
      <c r="G9" s="3" t="s">
        <v>80</v>
      </c>
      <c r="H9" s="3" t="s">
        <v>80</v>
      </c>
      <c r="I9" s="6" t="s">
        <v>40</v>
      </c>
      <c r="J9" s="6" t="s">
        <v>41</v>
      </c>
      <c r="K9" s="6" t="s">
        <v>42</v>
      </c>
    </row>
    <row r="10" spans="1:11">
      <c r="A10" s="2">
        <v>101009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138</v>
      </c>
      <c r="G10" s="3" t="s">
        <v>80</v>
      </c>
      <c r="H10" s="3" t="s">
        <v>80</v>
      </c>
      <c r="I10" s="6" t="s">
        <v>40</v>
      </c>
      <c r="J10" s="6" t="s">
        <v>41</v>
      </c>
      <c r="K10" s="6" t="s">
        <v>42</v>
      </c>
    </row>
    <row r="11" spans="1:11">
      <c r="A11" s="2">
        <v>101010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3" t="s">
        <v>138</v>
      </c>
      <c r="G11" s="3" t="s">
        <v>80</v>
      </c>
      <c r="H11" s="3" t="s">
        <v>80</v>
      </c>
      <c r="I11" s="6" t="s">
        <v>40</v>
      </c>
      <c r="J11" s="6" t="s">
        <v>41</v>
      </c>
      <c r="K11" s="6" t="s">
        <v>42</v>
      </c>
    </row>
    <row r="12" spans="1:11">
      <c r="A12" s="2">
        <v>101011</v>
      </c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138</v>
      </c>
      <c r="G12" s="3" t="s">
        <v>80</v>
      </c>
      <c r="H12" s="3" t="s">
        <v>80</v>
      </c>
      <c r="I12" s="6" t="s">
        <v>40</v>
      </c>
      <c r="J12" s="6" t="s">
        <v>41</v>
      </c>
      <c r="K12" s="6" t="s">
        <v>42</v>
      </c>
    </row>
    <row r="13" spans="1:11">
      <c r="A13" s="2">
        <v>101012</v>
      </c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138</v>
      </c>
      <c r="G13" s="3" t="s">
        <v>80</v>
      </c>
      <c r="H13" s="3" t="s">
        <v>80</v>
      </c>
      <c r="I13" s="6" t="s">
        <v>40</v>
      </c>
      <c r="J13" s="6" t="s">
        <v>41</v>
      </c>
      <c r="K13" s="6" t="s">
        <v>42</v>
      </c>
    </row>
    <row r="14" spans="1:11">
      <c r="A14" s="10">
        <v>101013</v>
      </c>
      <c r="B14" s="10">
        <v>201</v>
      </c>
      <c r="C14" s="2">
        <v>7</v>
      </c>
      <c r="D14" s="2">
        <f>VLOOKUP($C14,DEFINES!$A$2:$C$10,2,)</f>
        <v>1</v>
      </c>
      <c r="E14" s="2">
        <f>VLOOKUP($C14,DEFINES!$A$2:$C$10,3,)</f>
        <v>1</v>
      </c>
      <c r="F14" s="12" t="s">
        <v>47</v>
      </c>
      <c r="G14" s="12" t="s">
        <v>47</v>
      </c>
      <c r="H14" s="12" t="s">
        <v>47</v>
      </c>
      <c r="I14" s="12" t="s">
        <v>47</v>
      </c>
      <c r="J14" s="12" t="s">
        <v>47</v>
      </c>
      <c r="K14" s="12" t="s">
        <v>47</v>
      </c>
    </row>
    <row r="15" spans="1:11">
      <c r="A15" s="2">
        <v>101014</v>
      </c>
      <c r="B15" s="2"/>
      <c r="C15" s="2"/>
      <c r="D15" s="2"/>
      <c r="E15" s="2"/>
      <c r="F15" s="3"/>
      <c r="G15" s="3"/>
      <c r="H15" s="3"/>
      <c r="I15" s="3"/>
      <c r="J15" s="3"/>
      <c r="K15" s="3"/>
    </row>
    <row r="16" spans="1:11">
      <c r="A16" s="2">
        <v>101015</v>
      </c>
      <c r="B16" s="2"/>
      <c r="C16" s="2"/>
      <c r="D16" s="2"/>
      <c r="E16" s="2"/>
      <c r="F16" s="3"/>
      <c r="G16" s="3"/>
      <c r="H16" s="3"/>
      <c r="I16" s="3"/>
      <c r="J16" s="3"/>
      <c r="K16" s="3"/>
    </row>
    <row r="17" spans="1:11">
      <c r="A17" s="2">
        <v>101016</v>
      </c>
      <c r="B17" s="2"/>
      <c r="C17" s="2"/>
      <c r="D17" s="2"/>
      <c r="E17" s="2"/>
      <c r="F17" s="3"/>
      <c r="G17" s="3"/>
      <c r="H17" s="3"/>
      <c r="I17" s="3"/>
      <c r="J17" s="3"/>
      <c r="K17" s="3"/>
    </row>
    <row r="18" spans="1:11">
      <c r="A18" s="2">
        <v>101017</v>
      </c>
      <c r="B18" s="2"/>
      <c r="C18" s="2"/>
      <c r="D18" s="2"/>
      <c r="E18" s="2"/>
      <c r="F18" s="3"/>
      <c r="G18" s="3"/>
      <c r="H18" s="3"/>
      <c r="I18" s="3"/>
      <c r="J18" s="3"/>
      <c r="K18" s="3"/>
    </row>
    <row r="19" spans="1:11">
      <c r="A19" s="2">
        <v>101018</v>
      </c>
      <c r="B19" s="2"/>
      <c r="C19" s="2"/>
      <c r="D19" s="2"/>
      <c r="E19" s="2"/>
      <c r="F19" s="3"/>
      <c r="G19" s="3"/>
      <c r="H19" s="3"/>
      <c r="I19" s="3"/>
      <c r="J19" s="3"/>
      <c r="K19" s="3"/>
    </row>
    <row r="20" spans="1:11">
      <c r="A20" s="2">
        <v>101019</v>
      </c>
      <c r="B20" s="2"/>
      <c r="C20" s="2"/>
      <c r="D20" s="2"/>
      <c r="E20" s="2"/>
      <c r="F20" s="3"/>
      <c r="G20" s="3"/>
      <c r="H20" s="3"/>
      <c r="I20" s="3"/>
      <c r="J20" s="3"/>
      <c r="K20" s="3"/>
    </row>
    <row r="21" spans="1:11">
      <c r="A21" s="2">
        <v>101020</v>
      </c>
      <c r="B21" s="2"/>
      <c r="C21" s="2"/>
      <c r="D21" s="2"/>
      <c r="E21" s="2"/>
      <c r="F21" s="3"/>
      <c r="G21" s="3"/>
      <c r="H21" s="3"/>
      <c r="I21" s="3"/>
      <c r="J21" s="3"/>
      <c r="K21" s="3"/>
    </row>
    <row r="22" spans="1:11">
      <c r="A22" s="2">
        <v>101021</v>
      </c>
      <c r="B22" s="2"/>
      <c r="C22" s="2"/>
      <c r="D22" s="2"/>
      <c r="E22" s="2"/>
      <c r="F22" s="3"/>
      <c r="G22" s="3"/>
      <c r="H22" s="3"/>
      <c r="I22" s="3"/>
      <c r="J22" s="3"/>
      <c r="K22" s="3"/>
    </row>
    <row r="23" spans="1:11">
      <c r="A23" s="2">
        <v>101022</v>
      </c>
      <c r="B23" s="2"/>
      <c r="C23" s="2"/>
      <c r="D23" s="2"/>
      <c r="E23" s="2"/>
      <c r="F23" s="3"/>
      <c r="G23" s="3"/>
      <c r="H23" s="3"/>
      <c r="I23" s="3"/>
      <c r="J23" s="3"/>
      <c r="K23" s="3"/>
    </row>
    <row r="24" spans="1:11">
      <c r="A24" s="2">
        <v>101023</v>
      </c>
      <c r="B24" s="2"/>
      <c r="C24" s="2"/>
      <c r="D24" s="2"/>
      <c r="E24" s="2"/>
      <c r="F24" s="3"/>
      <c r="G24" s="3"/>
      <c r="H24" s="3"/>
      <c r="I24" s="3"/>
      <c r="J24" s="3"/>
      <c r="K24" s="3"/>
    </row>
    <row r="25" spans="1:11">
      <c r="A25" s="2">
        <v>101024</v>
      </c>
      <c r="B25" s="2"/>
      <c r="C25" s="2"/>
      <c r="D25" s="2"/>
      <c r="E25" s="2"/>
      <c r="F25" s="3"/>
      <c r="G25" s="3"/>
      <c r="H25" s="3"/>
      <c r="I25" s="3"/>
      <c r="J25" s="3"/>
      <c r="K25" s="3"/>
    </row>
    <row r="26" spans="1:11">
      <c r="A26" s="2">
        <v>101025</v>
      </c>
      <c r="B26" s="2"/>
      <c r="C26" s="2"/>
      <c r="D26" s="2"/>
      <c r="E26" s="2"/>
      <c r="F26" s="3"/>
      <c r="G26" s="3"/>
      <c r="H26" s="3"/>
      <c r="I26" s="3"/>
      <c r="J26" s="3"/>
      <c r="K26" s="3"/>
    </row>
    <row r="27" spans="1:11">
      <c r="A27" s="2">
        <v>101026</v>
      </c>
      <c r="B27" s="2"/>
      <c r="C27" s="2"/>
      <c r="D27" s="2"/>
      <c r="E27" s="2"/>
      <c r="F27" s="3"/>
      <c r="G27" s="3"/>
      <c r="H27" s="3"/>
      <c r="I27" s="3"/>
      <c r="J27" s="3"/>
      <c r="K27" s="3"/>
    </row>
    <row r="28" spans="1:11">
      <c r="A28" s="2">
        <v>101027</v>
      </c>
      <c r="B28" s="2"/>
      <c r="C28" s="2"/>
      <c r="D28" s="2"/>
      <c r="E28" s="2"/>
      <c r="F28" s="3"/>
      <c r="G28" s="3"/>
      <c r="H28" s="3"/>
      <c r="I28" s="3"/>
      <c r="J28" s="3"/>
      <c r="K28" s="3"/>
    </row>
    <row r="29" spans="1:11">
      <c r="A29" s="2">
        <v>101028</v>
      </c>
      <c r="B29" s="2"/>
      <c r="C29" s="2"/>
      <c r="D29" s="2"/>
      <c r="E29" s="2"/>
      <c r="F29" s="3"/>
      <c r="G29" s="3"/>
      <c r="H29" s="3"/>
      <c r="I29" s="3"/>
      <c r="J29" s="3"/>
      <c r="K29" s="3"/>
    </row>
    <row r="30" spans="1:11">
      <c r="A30" s="2">
        <v>101029</v>
      </c>
      <c r="B30" s="2"/>
      <c r="C30" s="2"/>
      <c r="D30" s="2"/>
      <c r="E30" s="2"/>
      <c r="F30" s="3"/>
      <c r="G30" s="3"/>
      <c r="H30" s="3"/>
      <c r="I30" s="3"/>
      <c r="J30" s="3"/>
      <c r="K30" s="3"/>
    </row>
    <row r="31" spans="1:11">
      <c r="A31" s="2">
        <v>101030</v>
      </c>
      <c r="B31" s="2"/>
      <c r="C31" s="2"/>
      <c r="D31" s="2"/>
      <c r="E31" s="2"/>
      <c r="F31" s="3"/>
      <c r="G31" s="3"/>
      <c r="H31" s="3"/>
      <c r="I31" s="3"/>
      <c r="J31" s="3"/>
      <c r="K31" s="3"/>
    </row>
    <row r="32" spans="1:11">
      <c r="A32" s="2">
        <v>101031</v>
      </c>
      <c r="B32" s="2"/>
      <c r="C32" s="2"/>
      <c r="D32" s="2"/>
      <c r="E32" s="2"/>
      <c r="F32" s="3"/>
      <c r="G32" s="3"/>
      <c r="H32" s="3"/>
      <c r="I32" s="3"/>
      <c r="J32" s="3"/>
      <c r="K32" s="3"/>
    </row>
    <row r="33" spans="1:11">
      <c r="A33" s="2">
        <v>101032</v>
      </c>
      <c r="B33" s="2"/>
      <c r="C33" s="2"/>
      <c r="D33" s="2"/>
      <c r="E33" s="2"/>
      <c r="F33" s="3"/>
      <c r="G33" s="3"/>
      <c r="H33" s="3"/>
      <c r="I33" s="3"/>
      <c r="J33" s="3"/>
      <c r="K33" s="3"/>
    </row>
    <row r="34" spans="1:11">
      <c r="A34" s="2">
        <v>101033</v>
      </c>
      <c r="B34" s="2"/>
      <c r="C34" s="2"/>
      <c r="D34" s="2"/>
      <c r="E34" s="2"/>
      <c r="F34" s="3"/>
      <c r="G34" s="3"/>
      <c r="H34" s="3"/>
      <c r="I34" s="3"/>
      <c r="J34" s="3"/>
      <c r="K34" s="3"/>
    </row>
    <row r="35" spans="1:11">
      <c r="A35" s="2">
        <v>101034</v>
      </c>
      <c r="B35" s="2"/>
      <c r="C35" s="2"/>
      <c r="D35" s="2"/>
      <c r="E35" s="2"/>
      <c r="F35" s="3"/>
      <c r="G35" s="3"/>
      <c r="H35" s="3"/>
      <c r="I35" s="3"/>
      <c r="J35" s="3"/>
      <c r="K35" s="3"/>
    </row>
    <row r="36" spans="1:11">
      <c r="A36" s="2">
        <v>101035</v>
      </c>
      <c r="B36" s="2"/>
      <c r="C36" s="2"/>
      <c r="D36" s="2"/>
      <c r="E36" s="2"/>
      <c r="F36" s="3"/>
      <c r="G36" s="3"/>
      <c r="H36" s="3"/>
      <c r="I36" s="3"/>
      <c r="J36" s="3"/>
      <c r="K36" s="3"/>
    </row>
    <row r="37" spans="1:11">
      <c r="A37" s="2">
        <v>101036</v>
      </c>
      <c r="B37" s="2"/>
      <c r="C37" s="2"/>
      <c r="D37" s="2"/>
      <c r="E37" s="2"/>
      <c r="F37" s="3"/>
      <c r="G37" s="3"/>
      <c r="H37" s="3"/>
      <c r="I37" s="3"/>
      <c r="J37" s="3"/>
      <c r="K37" s="3"/>
    </row>
    <row r="38" spans="1:11">
      <c r="A38" s="2">
        <v>101037</v>
      </c>
      <c r="B38" s="2"/>
      <c r="C38" s="2"/>
      <c r="D38" s="2"/>
      <c r="E38" s="2"/>
      <c r="F38" s="3"/>
      <c r="G38" s="3"/>
      <c r="H38" s="3"/>
      <c r="I38" s="3"/>
      <c r="J38" s="3"/>
      <c r="K38" s="3"/>
    </row>
    <row r="39" spans="1:11">
      <c r="A39" s="2">
        <v>101038</v>
      </c>
      <c r="B39" s="2"/>
      <c r="C39" s="2"/>
      <c r="D39" s="2"/>
      <c r="E39" s="2"/>
      <c r="F39" s="3"/>
      <c r="G39" s="3"/>
      <c r="H39" s="3"/>
      <c r="I39" s="3"/>
      <c r="J39" s="3"/>
      <c r="K39" s="3"/>
    </row>
    <row r="40" spans="1:11">
      <c r="A40" s="2">
        <v>101039</v>
      </c>
      <c r="B40" s="2"/>
      <c r="C40" s="2"/>
      <c r="D40" s="2"/>
      <c r="E40" s="2"/>
      <c r="F40" s="3"/>
      <c r="G40" s="3"/>
      <c r="H40" s="3"/>
      <c r="I40" s="3"/>
      <c r="J40" s="3"/>
      <c r="K40" s="3"/>
    </row>
    <row r="41" spans="1:11">
      <c r="A41" s="2">
        <v>101040</v>
      </c>
      <c r="B41" s="2"/>
      <c r="C41" s="2"/>
      <c r="D41" s="2"/>
      <c r="E41" s="2"/>
      <c r="F41" s="3"/>
      <c r="G41" s="3"/>
      <c r="H41" s="3"/>
      <c r="I41" s="3"/>
      <c r="J41" s="3"/>
      <c r="K41" s="3"/>
    </row>
    <row r="42" spans="1:11">
      <c r="A42" s="2">
        <v>101041</v>
      </c>
      <c r="B42" s="2"/>
      <c r="C42" s="2"/>
      <c r="D42" s="2"/>
      <c r="E42" s="2"/>
      <c r="F42" s="3"/>
      <c r="G42" s="3"/>
      <c r="H42" s="3"/>
      <c r="I42" s="3"/>
      <c r="J42" s="3"/>
      <c r="K42" s="3"/>
    </row>
    <row r="43" spans="1:11">
      <c r="A43" s="2">
        <v>101042</v>
      </c>
      <c r="B43" s="2"/>
      <c r="C43" s="2"/>
      <c r="D43" s="2"/>
      <c r="E43" s="2"/>
      <c r="F43" s="3"/>
      <c r="G43" s="3"/>
      <c r="H43" s="3"/>
      <c r="I43" s="3"/>
      <c r="J43" s="3"/>
      <c r="K43" s="3"/>
    </row>
    <row r="44" spans="1:11">
      <c r="A44" s="2">
        <v>101043</v>
      </c>
      <c r="B44" s="2"/>
      <c r="C44" s="2"/>
      <c r="D44" s="2"/>
      <c r="E44" s="2"/>
      <c r="F44" s="3"/>
      <c r="G44" s="3"/>
      <c r="H44" s="3"/>
      <c r="I44" s="3"/>
      <c r="J44" s="3"/>
      <c r="K44" s="3"/>
    </row>
    <row r="45" spans="1:11">
      <c r="A45" s="2">
        <v>101044</v>
      </c>
      <c r="B45" s="2"/>
      <c r="C45" s="2"/>
      <c r="D45" s="2"/>
      <c r="E45" s="2"/>
      <c r="F45" s="3"/>
      <c r="G45" s="3"/>
      <c r="H45" s="3"/>
      <c r="I45" s="3"/>
      <c r="J45" s="3"/>
      <c r="K45" s="3"/>
    </row>
    <row r="46" spans="1:11">
      <c r="A46" s="2">
        <v>101045</v>
      </c>
      <c r="B46" s="2"/>
      <c r="C46" s="2"/>
      <c r="D46" s="2"/>
      <c r="E46" s="2"/>
      <c r="F46" s="3"/>
      <c r="G46" s="3"/>
      <c r="H46" s="3"/>
      <c r="I46" s="3"/>
      <c r="J46" s="3"/>
      <c r="K46" s="3"/>
    </row>
    <row r="47" spans="1:11">
      <c r="A47" s="2">
        <v>101046</v>
      </c>
      <c r="B47" s="2"/>
      <c r="C47" s="2"/>
      <c r="D47" s="2"/>
      <c r="E47" s="2"/>
      <c r="F47" s="3"/>
      <c r="G47" s="3"/>
      <c r="H47" s="3"/>
      <c r="I47" s="3"/>
      <c r="J47" s="3"/>
      <c r="K47" s="3"/>
    </row>
    <row r="48" spans="1:11">
      <c r="A48" s="2">
        <v>101047</v>
      </c>
      <c r="B48" s="2"/>
      <c r="C48" s="2"/>
      <c r="D48" s="2"/>
      <c r="E48" s="2"/>
      <c r="F48" s="3"/>
      <c r="G48" s="3"/>
      <c r="H48" s="3"/>
      <c r="I48" s="3"/>
      <c r="J48" s="3"/>
      <c r="K48" s="3"/>
    </row>
    <row r="49" spans="1:11">
      <c r="A49" s="2">
        <v>101048</v>
      </c>
      <c r="B49" s="2"/>
      <c r="C49" s="2"/>
      <c r="D49" s="2"/>
      <c r="E49" s="2"/>
      <c r="F49" s="3"/>
      <c r="G49" s="3"/>
      <c r="H49" s="3"/>
      <c r="I49" s="3"/>
      <c r="J49" s="3"/>
      <c r="K49" s="3"/>
    </row>
    <row r="50" spans="1:11">
      <c r="A50" s="2">
        <v>101049</v>
      </c>
      <c r="B50" s="2"/>
      <c r="C50" s="2"/>
      <c r="D50" s="2"/>
      <c r="E50" s="2"/>
      <c r="F50" s="3"/>
      <c r="G50" s="3"/>
      <c r="H50" s="3"/>
      <c r="I50" s="3"/>
      <c r="J50" s="3"/>
      <c r="K50" s="3"/>
    </row>
    <row r="51" spans="1:11">
      <c r="A51" s="2">
        <v>101050</v>
      </c>
      <c r="B51" s="2"/>
      <c r="C51" s="2"/>
      <c r="D51" s="2"/>
      <c r="E51" s="2"/>
      <c r="F51" s="3"/>
      <c r="G51" s="3"/>
      <c r="H51" s="3"/>
      <c r="I51" s="3"/>
      <c r="J51" s="3"/>
      <c r="K51" s="3"/>
    </row>
    <row r="52" spans="1:11">
      <c r="A52" s="2">
        <v>101051</v>
      </c>
      <c r="B52" s="2"/>
      <c r="C52" s="2"/>
      <c r="D52" s="2"/>
      <c r="E52" s="2"/>
      <c r="F52" s="3"/>
      <c r="G52" s="3"/>
      <c r="H52" s="3"/>
      <c r="I52" s="3"/>
      <c r="J52" s="3"/>
      <c r="K52" s="3"/>
    </row>
    <row r="53" spans="1:11">
      <c r="A53" s="2">
        <v>101052</v>
      </c>
      <c r="B53" s="2"/>
      <c r="C53" s="2"/>
      <c r="D53" s="2"/>
      <c r="E53" s="2"/>
      <c r="F53" s="3"/>
      <c r="G53" s="3"/>
      <c r="H53" s="3"/>
      <c r="I53" s="3"/>
      <c r="J53" s="3"/>
      <c r="K53" s="3"/>
    </row>
    <row r="54" spans="1:11">
      <c r="A54" s="2">
        <v>101053</v>
      </c>
      <c r="B54" s="2"/>
      <c r="C54" s="2"/>
      <c r="D54" s="2"/>
      <c r="E54" s="2"/>
      <c r="F54" s="3"/>
      <c r="G54" s="3"/>
      <c r="H54" s="3"/>
      <c r="I54" s="3"/>
      <c r="J54" s="3"/>
      <c r="K54" s="3"/>
    </row>
    <row r="55" spans="1:11">
      <c r="A55" s="2">
        <v>101054</v>
      </c>
    </row>
    <row r="56" spans="1:11">
      <c r="A56" s="2">
        <v>101055</v>
      </c>
    </row>
    <row r="57" spans="1:11">
      <c r="A57" s="2">
        <v>101056</v>
      </c>
    </row>
    <row r="58" spans="1:11">
      <c r="A58" s="2">
        <v>101057</v>
      </c>
    </row>
    <row r="59" spans="1:11">
      <c r="A59" s="2">
        <v>101058</v>
      </c>
    </row>
    <row r="60" spans="1:11">
      <c r="A60" s="2">
        <v>101059</v>
      </c>
    </row>
    <row r="61" spans="1:11">
      <c r="A61" s="2">
        <v>101060</v>
      </c>
    </row>
    <row r="62" spans="1:11">
      <c r="A62" s="2">
        <v>101061</v>
      </c>
    </row>
    <row r="63" spans="1:11">
      <c r="A63" s="2">
        <v>101062</v>
      </c>
    </row>
    <row r="64" spans="1:11">
      <c r="A64" s="2">
        <v>101063</v>
      </c>
    </row>
    <row r="65" spans="1:1">
      <c r="A65" s="2">
        <v>101064</v>
      </c>
    </row>
    <row r="66" spans="1:1">
      <c r="A66" s="2">
        <v>101065</v>
      </c>
    </row>
    <row r="67" spans="1:1">
      <c r="A67" s="2">
        <v>101066</v>
      </c>
    </row>
    <row r="68" spans="1:1">
      <c r="A68" s="2">
        <v>101067</v>
      </c>
    </row>
    <row r="69" spans="1:1">
      <c r="A69" s="2">
        <v>101068</v>
      </c>
    </row>
    <row r="70" spans="1:1">
      <c r="A70" s="2">
        <v>101069</v>
      </c>
    </row>
    <row r="71" spans="1:1">
      <c r="A71" s="2">
        <v>101070</v>
      </c>
    </row>
    <row r="72" spans="1:1">
      <c r="A72" s="2">
        <v>101071</v>
      </c>
    </row>
    <row r="73" spans="1:1">
      <c r="A73" s="2">
        <v>101072</v>
      </c>
    </row>
    <row r="74" spans="1:1">
      <c r="A74" s="2">
        <v>101073</v>
      </c>
    </row>
    <row r="75" spans="1:1">
      <c r="A75" s="2">
        <v>101074</v>
      </c>
    </row>
    <row r="76" spans="1:1">
      <c r="A76" s="2">
        <v>101075</v>
      </c>
    </row>
    <row r="77" spans="1:1">
      <c r="A77" s="2">
        <v>101076</v>
      </c>
    </row>
    <row r="78" spans="1:1">
      <c r="A78" s="2">
        <v>101077</v>
      </c>
    </row>
    <row r="79" spans="1:1">
      <c r="A79" s="2">
        <v>101078</v>
      </c>
    </row>
    <row r="80" spans="1:1">
      <c r="A80" s="2">
        <v>101079</v>
      </c>
    </row>
    <row r="81" spans="1:1">
      <c r="A81" s="2">
        <v>101080</v>
      </c>
    </row>
    <row r="82" spans="1:1">
      <c r="A82" s="2">
        <v>101081</v>
      </c>
    </row>
    <row r="83" spans="1:1">
      <c r="A83" s="2">
        <v>101082</v>
      </c>
    </row>
    <row r="84" spans="1:1">
      <c r="A84" s="2">
        <v>101083</v>
      </c>
    </row>
    <row r="85" spans="1:1">
      <c r="A85" s="2">
        <v>101084</v>
      </c>
    </row>
    <row r="86" spans="1:1">
      <c r="A86" s="2">
        <v>101085</v>
      </c>
    </row>
    <row r="87" spans="1:1">
      <c r="A87" s="2">
        <v>101086</v>
      </c>
    </row>
    <row r="88" spans="1:1">
      <c r="A88" s="2">
        <v>101087</v>
      </c>
    </row>
    <row r="89" spans="1:1">
      <c r="A89" s="2">
        <v>101088</v>
      </c>
    </row>
    <row r="90" spans="1:1">
      <c r="A90" s="2">
        <v>101089</v>
      </c>
    </row>
    <row r="91" spans="1:1">
      <c r="A91" s="2">
        <v>101090</v>
      </c>
    </row>
    <row r="92" spans="1:1">
      <c r="A92" s="2">
        <v>101091</v>
      </c>
    </row>
    <row r="93" spans="1:1">
      <c r="A93" s="2">
        <v>101092</v>
      </c>
    </row>
    <row r="94" spans="1:1">
      <c r="A94" s="2">
        <v>101093</v>
      </c>
    </row>
    <row r="95" spans="1:1">
      <c r="A95" s="2">
        <v>101094</v>
      </c>
    </row>
    <row r="96" spans="1:1">
      <c r="A96" s="2">
        <v>101095</v>
      </c>
    </row>
    <row r="97" spans="1:1">
      <c r="A97" s="2">
        <v>101096</v>
      </c>
    </row>
    <row r="98" spans="1:1">
      <c r="A98" s="2">
        <v>101097</v>
      </c>
    </row>
    <row r="99" spans="1:1">
      <c r="A99" s="2">
        <v>101098</v>
      </c>
    </row>
    <row r="100" spans="1:1">
      <c r="A100" s="2">
        <v>101099</v>
      </c>
    </row>
    <row r="101" spans="1:1">
      <c r="A101" s="2">
        <v>101100</v>
      </c>
    </row>
    <row r="102" spans="1:1">
      <c r="A102" s="2">
        <v>101101</v>
      </c>
    </row>
    <row r="103" spans="1:1">
      <c r="A103" s="2">
        <v>101102</v>
      </c>
    </row>
    <row r="104" spans="1:1">
      <c r="A104" s="2">
        <v>101103</v>
      </c>
    </row>
    <row r="105" spans="1:1">
      <c r="A105" s="2">
        <v>101104</v>
      </c>
    </row>
    <row r="106" spans="1:1">
      <c r="A106" s="2">
        <v>101105</v>
      </c>
    </row>
    <row r="107" spans="1:1">
      <c r="A107" s="2">
        <v>101106</v>
      </c>
    </row>
    <row r="108" spans="1:1">
      <c r="A108" s="2">
        <v>101107</v>
      </c>
    </row>
    <row r="109" spans="1:1">
      <c r="A109" s="2">
        <v>101108</v>
      </c>
    </row>
    <row r="110" spans="1:1">
      <c r="A110" s="2">
        <v>101109</v>
      </c>
    </row>
    <row r="111" spans="1:1">
      <c r="A111" s="2">
        <v>101110</v>
      </c>
    </row>
    <row r="112" spans="1:1">
      <c r="A112" s="2">
        <v>101111</v>
      </c>
    </row>
    <row r="113" spans="1:1">
      <c r="A113" s="2">
        <v>101112</v>
      </c>
    </row>
    <row r="114" spans="1:1">
      <c r="A114" s="2">
        <v>101113</v>
      </c>
    </row>
    <row r="115" spans="1:1">
      <c r="A115" s="2">
        <v>101114</v>
      </c>
    </row>
    <row r="116" spans="1:1">
      <c r="A116" s="2">
        <v>101115</v>
      </c>
    </row>
    <row r="117" spans="1:1">
      <c r="A117" s="2">
        <v>101116</v>
      </c>
    </row>
    <row r="118" spans="1:1">
      <c r="A118" s="2">
        <v>101117</v>
      </c>
    </row>
    <row r="119" spans="1:1">
      <c r="A119" s="2">
        <v>101118</v>
      </c>
    </row>
    <row r="120" spans="1:1">
      <c r="A120" s="2">
        <v>101119</v>
      </c>
    </row>
    <row r="121" spans="1:1">
      <c r="A121" s="2">
        <v>101120</v>
      </c>
    </row>
    <row r="122" spans="1:1">
      <c r="A122" s="2">
        <v>101121</v>
      </c>
    </row>
    <row r="123" spans="1:1">
      <c r="A123" s="2">
        <v>101122</v>
      </c>
    </row>
    <row r="124" spans="1:1">
      <c r="A124" s="2">
        <v>101123</v>
      </c>
    </row>
    <row r="125" spans="1:1">
      <c r="A125" s="2">
        <v>101124</v>
      </c>
    </row>
    <row r="126" spans="1:1">
      <c r="A126" s="2">
        <v>101125</v>
      </c>
    </row>
    <row r="127" spans="1:1">
      <c r="A127" s="2">
        <v>101126</v>
      </c>
    </row>
    <row r="128" spans="1:1">
      <c r="A128" s="2">
        <v>101127</v>
      </c>
    </row>
    <row r="129" spans="1:1">
      <c r="A129" s="2">
        <v>101128</v>
      </c>
    </row>
    <row r="130" spans="1:1">
      <c r="A130" s="2">
        <v>101129</v>
      </c>
    </row>
    <row r="131" spans="1:1">
      <c r="A131" s="2">
        <v>101130</v>
      </c>
    </row>
    <row r="132" spans="1:1">
      <c r="A132" s="2">
        <v>101131</v>
      </c>
    </row>
    <row r="133" spans="1:1">
      <c r="A133" s="2">
        <v>101132</v>
      </c>
    </row>
    <row r="134" spans="1:1">
      <c r="A134" s="2">
        <v>101133</v>
      </c>
    </row>
    <row r="135" spans="1:1">
      <c r="A135" s="2">
        <v>101134</v>
      </c>
    </row>
    <row r="136" spans="1:1">
      <c r="A136" s="2">
        <v>101135</v>
      </c>
    </row>
    <row r="137" spans="1:1">
      <c r="A137" s="2">
        <v>101136</v>
      </c>
    </row>
    <row r="138" spans="1:1">
      <c r="A138" s="2">
        <v>101137</v>
      </c>
    </row>
    <row r="139" spans="1:1">
      <c r="A139" s="2">
        <v>101138</v>
      </c>
    </row>
    <row r="140" spans="1:1">
      <c r="A140" s="2">
        <v>101139</v>
      </c>
    </row>
    <row r="141" spans="1:1">
      <c r="A141" s="2">
        <v>101140</v>
      </c>
    </row>
    <row r="142" spans="1:1">
      <c r="A142" s="2">
        <v>101141</v>
      </c>
    </row>
    <row r="143" spans="1:1">
      <c r="A143" s="2">
        <v>101142</v>
      </c>
    </row>
    <row r="144" spans="1:1">
      <c r="A144" s="2">
        <v>101143</v>
      </c>
    </row>
    <row r="145" spans="1:1">
      <c r="A145" s="2">
        <v>101144</v>
      </c>
    </row>
    <row r="146" spans="1:1">
      <c r="A146" s="2">
        <v>101145</v>
      </c>
    </row>
    <row r="147" spans="1:1">
      <c r="A147" s="2">
        <v>101146</v>
      </c>
    </row>
    <row r="148" spans="1:1">
      <c r="A148" s="2">
        <v>101147</v>
      </c>
    </row>
    <row r="149" spans="1:1">
      <c r="A149" s="2">
        <v>101148</v>
      </c>
    </row>
    <row r="150" spans="1:1">
      <c r="A150" s="2">
        <v>101149</v>
      </c>
    </row>
    <row r="151" spans="1:1">
      <c r="A151" s="2">
        <v>101150</v>
      </c>
    </row>
    <row r="152" spans="1:1">
      <c r="A152" s="2">
        <v>101151</v>
      </c>
    </row>
    <row r="153" spans="1:1">
      <c r="A153" s="2">
        <v>101152</v>
      </c>
    </row>
    <row r="154" spans="1:1">
      <c r="A154" s="2">
        <v>101153</v>
      </c>
    </row>
    <row r="155" spans="1:1">
      <c r="A155" s="2">
        <v>101154</v>
      </c>
    </row>
    <row r="156" spans="1:1">
      <c r="A156" s="2">
        <v>101155</v>
      </c>
    </row>
    <row r="157" spans="1:1">
      <c r="A157" s="2">
        <v>101156</v>
      </c>
    </row>
    <row r="158" spans="1:1">
      <c r="A158" s="2">
        <v>101157</v>
      </c>
    </row>
    <row r="159" spans="1:1">
      <c r="A159" s="2">
        <v>101158</v>
      </c>
    </row>
    <row r="160" spans="1:1">
      <c r="A160" s="2">
        <v>101159</v>
      </c>
    </row>
    <row r="161" spans="1:1">
      <c r="A161" s="2">
        <v>101160</v>
      </c>
    </row>
    <row r="162" spans="1:1">
      <c r="A162" s="2">
        <v>101161</v>
      </c>
    </row>
    <row r="163" spans="1:1">
      <c r="A163" s="2">
        <v>101162</v>
      </c>
    </row>
    <row r="164" spans="1:1">
      <c r="A164" s="2">
        <v>101163</v>
      </c>
    </row>
    <row r="165" spans="1:1">
      <c r="A165" s="2">
        <v>101164</v>
      </c>
    </row>
    <row r="166" spans="1:1">
      <c r="A166" s="2">
        <v>101165</v>
      </c>
    </row>
    <row r="167" spans="1:1">
      <c r="A167" s="2">
        <v>101166</v>
      </c>
    </row>
    <row r="168" spans="1:1">
      <c r="A168" s="2">
        <v>101167</v>
      </c>
    </row>
    <row r="169" spans="1:1">
      <c r="A169" s="2">
        <v>101168</v>
      </c>
    </row>
    <row r="170" spans="1:1">
      <c r="A170" s="2">
        <v>101169</v>
      </c>
    </row>
    <row r="171" spans="1:1">
      <c r="A171" s="2">
        <v>101170</v>
      </c>
    </row>
    <row r="172" spans="1:1">
      <c r="A172" s="2">
        <v>101171</v>
      </c>
    </row>
    <row r="173" spans="1:1">
      <c r="A173" s="2">
        <v>101172</v>
      </c>
    </row>
    <row r="174" spans="1:1">
      <c r="A174" s="2">
        <v>101173</v>
      </c>
    </row>
    <row r="175" spans="1:1">
      <c r="A175" s="2">
        <v>101174</v>
      </c>
    </row>
    <row r="176" spans="1:1">
      <c r="A176" s="2">
        <v>101175</v>
      </c>
    </row>
    <row r="177" spans="1:1">
      <c r="A177" s="2">
        <v>101176</v>
      </c>
    </row>
    <row r="178" spans="1:1">
      <c r="A178" s="2">
        <v>101177</v>
      </c>
    </row>
    <row r="179" spans="1:1">
      <c r="A179" s="2">
        <v>101178</v>
      </c>
    </row>
    <row r="180" spans="1:1">
      <c r="A180" s="2">
        <v>101179</v>
      </c>
    </row>
    <row r="181" spans="1:1">
      <c r="A181" s="2">
        <v>101180</v>
      </c>
    </row>
    <row r="182" spans="1:1">
      <c r="A182" s="2">
        <v>101181</v>
      </c>
    </row>
    <row r="183" spans="1:1">
      <c r="A183" s="2">
        <v>101182</v>
      </c>
    </row>
    <row r="184" spans="1:1">
      <c r="A184" s="2">
        <v>101183</v>
      </c>
    </row>
    <row r="185" spans="1:1">
      <c r="A185" s="2">
        <v>101184</v>
      </c>
    </row>
    <row r="186" spans="1:1">
      <c r="A186" s="2">
        <v>101185</v>
      </c>
    </row>
    <row r="187" spans="1:1">
      <c r="A187" s="2">
        <v>101186</v>
      </c>
    </row>
    <row r="188" spans="1:1">
      <c r="A188" s="2">
        <v>101187</v>
      </c>
    </row>
    <row r="189" spans="1:1">
      <c r="A189" s="2">
        <v>101188</v>
      </c>
    </row>
    <row r="190" spans="1:1">
      <c r="A190" s="2">
        <v>101189</v>
      </c>
    </row>
    <row r="191" spans="1:1">
      <c r="A191" s="2">
        <v>101190</v>
      </c>
    </row>
    <row r="192" spans="1:1">
      <c r="A192" s="2">
        <v>101191</v>
      </c>
    </row>
    <row r="193" spans="1:1">
      <c r="A193" s="2">
        <v>101192</v>
      </c>
    </row>
    <row r="194" spans="1:1">
      <c r="A194" s="2">
        <v>101193</v>
      </c>
    </row>
    <row r="195" spans="1:1">
      <c r="A195" s="2">
        <v>101194</v>
      </c>
    </row>
    <row r="196" spans="1:1">
      <c r="A196" s="2">
        <v>101195</v>
      </c>
    </row>
    <row r="197" spans="1:1">
      <c r="A197" s="2">
        <v>101196</v>
      </c>
    </row>
    <row r="198" spans="1:1">
      <c r="A198" s="2">
        <v>101197</v>
      </c>
    </row>
    <row r="199" spans="1:1">
      <c r="A199" s="2">
        <v>101198</v>
      </c>
    </row>
    <row r="200" spans="1:1">
      <c r="A200" s="2">
        <v>101199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75">
    <tabColor theme="1"/>
  </sheetPr>
  <dimension ref="A1:K55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4" sqref="C4:E13"/>
    </sheetView>
  </sheetViews>
  <sheetFormatPr defaultColWidth="11.453125" defaultRowHeight="12.5" outlineLevelCol="1"/>
  <cols>
    <col min="3" max="5" width="11.453125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101200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>
        <v>101201</v>
      </c>
      <c r="B3" s="5"/>
      <c r="C3" s="8" t="s">
        <v>2</v>
      </c>
      <c r="D3" s="2" t="s">
        <v>2</v>
      </c>
      <c r="E3" s="2" t="s">
        <v>2</v>
      </c>
      <c r="F3" s="6" t="s">
        <v>139</v>
      </c>
      <c r="G3" s="3" t="s">
        <v>268</v>
      </c>
      <c r="H3" s="3" t="s">
        <v>268</v>
      </c>
      <c r="I3" s="7" t="s">
        <v>140</v>
      </c>
      <c r="J3" s="7" t="s">
        <v>141</v>
      </c>
      <c r="K3" s="7" t="s">
        <v>142</v>
      </c>
    </row>
    <row r="4" spans="1:11">
      <c r="A4" s="2">
        <v>101202</v>
      </c>
      <c r="B4" s="2">
        <v>1</v>
      </c>
      <c r="C4" s="2">
        <v>3</v>
      </c>
      <c r="D4" s="2">
        <f>VLOOKUP($C4,DEFINES!$A$2:$C$10,2,)</f>
        <v>3</v>
      </c>
      <c r="E4" s="2">
        <f>VLOOKUP($C4,DEFINES!$A$2:$C$10,3,)</f>
        <v>0</v>
      </c>
      <c r="F4" s="3" t="s">
        <v>269</v>
      </c>
      <c r="G4" s="3" t="s">
        <v>270</v>
      </c>
      <c r="H4" s="3" t="s">
        <v>270</v>
      </c>
      <c r="I4" s="6" t="s">
        <v>40</v>
      </c>
      <c r="J4" s="6" t="s">
        <v>41</v>
      </c>
      <c r="K4" s="6" t="s">
        <v>42</v>
      </c>
    </row>
    <row r="5" spans="1:11">
      <c r="A5" s="2">
        <v>101203</v>
      </c>
      <c r="B5" s="2">
        <v>2</v>
      </c>
      <c r="C5" s="2">
        <v>4</v>
      </c>
      <c r="D5" s="2">
        <f>VLOOKUP($C5,DEFINES!$A$2:$C$10,2,)</f>
        <v>3</v>
      </c>
      <c r="E5" s="2">
        <f>VLOOKUP($C5,DEFINES!$A$2:$C$10,3,)</f>
        <v>0</v>
      </c>
      <c r="F5" s="3" t="s">
        <v>271</v>
      </c>
      <c r="G5" s="3" t="s">
        <v>274</v>
      </c>
      <c r="H5" s="3" t="s">
        <v>274</v>
      </c>
      <c r="I5" s="6" t="s">
        <v>40</v>
      </c>
      <c r="J5" s="6" t="s">
        <v>41</v>
      </c>
      <c r="K5" s="6" t="s">
        <v>42</v>
      </c>
    </row>
    <row r="6" spans="1:11">
      <c r="A6" s="2">
        <v>101204</v>
      </c>
      <c r="B6" s="2">
        <v>3</v>
      </c>
      <c r="C6" s="2">
        <v>4</v>
      </c>
      <c r="D6" s="2">
        <f>VLOOKUP($C6,DEFINES!$A$2:$C$10,2,)</f>
        <v>3</v>
      </c>
      <c r="E6" s="2">
        <f>VLOOKUP($C6,DEFINES!$A$2:$C$10,3,)</f>
        <v>0</v>
      </c>
      <c r="F6" s="3" t="s">
        <v>272</v>
      </c>
      <c r="G6" s="3" t="s">
        <v>273</v>
      </c>
      <c r="H6" s="3" t="s">
        <v>273</v>
      </c>
      <c r="I6" s="6" t="s">
        <v>40</v>
      </c>
      <c r="J6" s="6" t="s">
        <v>41</v>
      </c>
      <c r="K6" s="6" t="s">
        <v>42</v>
      </c>
    </row>
    <row r="7" spans="1:11">
      <c r="A7" s="2">
        <v>101205</v>
      </c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3" t="s">
        <v>138</v>
      </c>
      <c r="G7" s="3" t="s">
        <v>80</v>
      </c>
      <c r="H7" s="3" t="s">
        <v>80</v>
      </c>
      <c r="I7" s="6" t="s">
        <v>40</v>
      </c>
      <c r="J7" s="6" t="s">
        <v>41</v>
      </c>
      <c r="K7" s="6" t="s">
        <v>42</v>
      </c>
    </row>
    <row r="8" spans="1:11">
      <c r="A8" s="2">
        <v>101206</v>
      </c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3" t="s">
        <v>138</v>
      </c>
      <c r="G8" s="3" t="s">
        <v>80</v>
      </c>
      <c r="H8" s="3" t="s">
        <v>80</v>
      </c>
      <c r="I8" s="6" t="s">
        <v>40</v>
      </c>
      <c r="J8" s="6" t="s">
        <v>41</v>
      </c>
      <c r="K8" s="6" t="s">
        <v>42</v>
      </c>
    </row>
    <row r="9" spans="1:11">
      <c r="A9" s="2">
        <v>101207</v>
      </c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3" t="s">
        <v>138</v>
      </c>
      <c r="G9" s="3" t="s">
        <v>80</v>
      </c>
      <c r="H9" s="3" t="s">
        <v>80</v>
      </c>
      <c r="I9" s="6" t="s">
        <v>40</v>
      </c>
      <c r="J9" s="6" t="s">
        <v>41</v>
      </c>
      <c r="K9" s="6" t="s">
        <v>42</v>
      </c>
    </row>
    <row r="10" spans="1:11">
      <c r="A10" s="2">
        <v>101208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138</v>
      </c>
      <c r="G10" s="3" t="s">
        <v>80</v>
      </c>
      <c r="H10" s="3" t="s">
        <v>80</v>
      </c>
      <c r="I10" s="6" t="s">
        <v>40</v>
      </c>
      <c r="J10" s="6" t="s">
        <v>41</v>
      </c>
      <c r="K10" s="6" t="s">
        <v>42</v>
      </c>
    </row>
    <row r="11" spans="1:11">
      <c r="A11" s="2">
        <v>101209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3" t="s">
        <v>138</v>
      </c>
      <c r="G11" s="3" t="s">
        <v>80</v>
      </c>
      <c r="H11" s="3" t="s">
        <v>80</v>
      </c>
      <c r="I11" s="6" t="s">
        <v>40</v>
      </c>
      <c r="J11" s="6" t="s">
        <v>41</v>
      </c>
      <c r="K11" s="6" t="s">
        <v>42</v>
      </c>
    </row>
    <row r="12" spans="1:11">
      <c r="A12" s="2"/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138</v>
      </c>
      <c r="G12" s="3" t="s">
        <v>80</v>
      </c>
      <c r="H12" s="3" t="s">
        <v>80</v>
      </c>
      <c r="I12" s="6" t="s">
        <v>40</v>
      </c>
      <c r="J12" s="6" t="s">
        <v>41</v>
      </c>
      <c r="K12" s="6" t="s">
        <v>42</v>
      </c>
    </row>
    <row r="13" spans="1:11">
      <c r="A13" s="2"/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138</v>
      </c>
      <c r="G13" s="3" t="s">
        <v>80</v>
      </c>
      <c r="H13" s="3" t="s">
        <v>80</v>
      </c>
      <c r="I13" s="6" t="s">
        <v>40</v>
      </c>
      <c r="J13" s="6" t="s">
        <v>41</v>
      </c>
      <c r="K13" s="6" t="s">
        <v>42</v>
      </c>
    </row>
    <row r="14" spans="1:11">
      <c r="A14" s="2"/>
      <c r="B14" s="10">
        <v>200</v>
      </c>
      <c r="C14" s="2">
        <v>7</v>
      </c>
      <c r="D14" s="2">
        <f>VLOOKUP($C14,DEFINES!$A$2:$C$10,2,)</f>
        <v>1</v>
      </c>
      <c r="E14" s="2">
        <f>VLOOKUP($C14,DEFINES!$A$2:$C$10,3,)</f>
        <v>1</v>
      </c>
      <c r="F14" s="12" t="s">
        <v>137</v>
      </c>
      <c r="G14" s="12" t="s">
        <v>137</v>
      </c>
      <c r="H14" s="12" t="s">
        <v>137</v>
      </c>
      <c r="I14" s="12" t="s">
        <v>137</v>
      </c>
      <c r="J14" s="12" t="s">
        <v>137</v>
      </c>
      <c r="K14" s="12" t="s">
        <v>137</v>
      </c>
    </row>
    <row r="15" spans="1:11">
      <c r="A15" s="10"/>
      <c r="B15" s="2"/>
      <c r="C15" s="2"/>
      <c r="D15" s="2"/>
      <c r="E15" s="2"/>
      <c r="F15" s="3"/>
      <c r="G15" s="3"/>
      <c r="H15" s="3"/>
      <c r="I15" s="3"/>
      <c r="J15" s="3"/>
      <c r="K15" s="3"/>
    </row>
    <row r="16" spans="1:11">
      <c r="A16" s="2"/>
      <c r="B16" s="2"/>
      <c r="C16" s="2"/>
      <c r="D16" s="2"/>
      <c r="E16" s="2"/>
      <c r="F16" s="3"/>
      <c r="G16" s="3"/>
      <c r="H16" s="3"/>
      <c r="I16" s="3"/>
      <c r="J16" s="3"/>
      <c r="K16" s="3"/>
    </row>
    <row r="17" spans="1:11">
      <c r="A17" s="2"/>
      <c r="B17" s="2"/>
      <c r="C17" s="2"/>
      <c r="D17" s="2"/>
      <c r="E17" s="2"/>
      <c r="F17" s="3"/>
      <c r="G17" s="3"/>
      <c r="H17" s="3"/>
      <c r="I17" s="3"/>
      <c r="J17" s="3"/>
      <c r="K17" s="3"/>
    </row>
    <row r="18" spans="1:11">
      <c r="A18" s="2"/>
      <c r="B18" s="2"/>
      <c r="C18" s="2"/>
      <c r="D18" s="2"/>
      <c r="E18" s="2"/>
      <c r="F18" s="3"/>
      <c r="G18" s="3"/>
      <c r="H18" s="3"/>
      <c r="I18" s="3"/>
      <c r="J18" s="3"/>
      <c r="K18" s="3"/>
    </row>
    <row r="19" spans="1:11">
      <c r="A19" s="2"/>
      <c r="B19" s="2"/>
      <c r="C19" s="2"/>
      <c r="D19" s="2"/>
      <c r="E19" s="2"/>
      <c r="F19" s="3"/>
      <c r="G19" s="3"/>
      <c r="H19" s="3"/>
      <c r="I19" s="3"/>
      <c r="J19" s="3"/>
      <c r="K19" s="3"/>
    </row>
    <row r="20" spans="1:11">
      <c r="A20" s="2"/>
      <c r="B20" s="2"/>
      <c r="C20" s="2"/>
      <c r="D20" s="2"/>
      <c r="E20" s="2"/>
      <c r="F20" s="3"/>
      <c r="G20" s="3"/>
      <c r="H20" s="3"/>
      <c r="I20" s="3"/>
      <c r="J20" s="3"/>
      <c r="K20" s="3"/>
    </row>
    <row r="21" spans="1:11">
      <c r="A21" s="2"/>
      <c r="B21" s="2"/>
      <c r="C21" s="2"/>
      <c r="D21" s="2"/>
      <c r="E21" s="2"/>
      <c r="F21" s="3"/>
      <c r="G21" s="3"/>
      <c r="H21" s="3"/>
      <c r="I21" s="3"/>
      <c r="J21" s="3"/>
      <c r="K21" s="3"/>
    </row>
    <row r="22" spans="1:11">
      <c r="A22" s="2"/>
      <c r="B22" s="2"/>
      <c r="C22" s="2"/>
      <c r="D22" s="2"/>
      <c r="E22" s="2"/>
      <c r="F22" s="3"/>
      <c r="G22" s="3"/>
      <c r="H22" s="3"/>
      <c r="I22" s="3"/>
      <c r="J22" s="3"/>
      <c r="K22" s="3"/>
    </row>
    <row r="23" spans="1:11">
      <c r="A23" s="2"/>
      <c r="B23" s="2"/>
      <c r="C23" s="2"/>
      <c r="D23" s="2"/>
      <c r="E23" s="2"/>
      <c r="F23" s="3"/>
      <c r="G23" s="3"/>
      <c r="H23" s="3"/>
      <c r="I23" s="3"/>
      <c r="J23" s="3"/>
      <c r="K23" s="3"/>
    </row>
    <row r="24" spans="1:11">
      <c r="A24" s="2"/>
      <c r="B24" s="2"/>
      <c r="C24" s="2"/>
      <c r="D24" s="2"/>
      <c r="E24" s="2"/>
      <c r="F24" s="3"/>
      <c r="G24" s="3"/>
      <c r="H24" s="3"/>
      <c r="I24" s="3"/>
      <c r="J24" s="3"/>
      <c r="K24" s="3"/>
    </row>
    <row r="25" spans="1:11">
      <c r="A25" s="2"/>
      <c r="B25" s="2"/>
      <c r="C25" s="2"/>
      <c r="D25" s="2"/>
      <c r="E25" s="2"/>
      <c r="F25" s="3"/>
      <c r="G25" s="3"/>
      <c r="H25" s="3"/>
      <c r="I25" s="3"/>
      <c r="J25" s="3"/>
      <c r="K25" s="3"/>
    </row>
    <row r="26" spans="1:11">
      <c r="A26" s="2"/>
      <c r="B26" s="2"/>
      <c r="C26" s="2"/>
      <c r="D26" s="2"/>
      <c r="E26" s="2"/>
      <c r="F26" s="3"/>
      <c r="G26" s="3"/>
      <c r="H26" s="3"/>
      <c r="I26" s="3"/>
      <c r="J26" s="3"/>
      <c r="K26" s="3"/>
    </row>
    <row r="27" spans="1:11">
      <c r="A27" s="2"/>
      <c r="B27" s="2"/>
      <c r="C27" s="2"/>
      <c r="D27" s="2"/>
      <c r="E27" s="2"/>
      <c r="F27" s="3"/>
      <c r="G27" s="3"/>
      <c r="H27" s="3"/>
      <c r="I27" s="3"/>
      <c r="J27" s="3"/>
      <c r="K27" s="3"/>
    </row>
    <row r="28" spans="1:11">
      <c r="A28" s="2"/>
      <c r="B28" s="2"/>
      <c r="C28" s="2"/>
      <c r="D28" s="2"/>
      <c r="E28" s="2"/>
      <c r="F28" s="3"/>
      <c r="G28" s="3"/>
      <c r="H28" s="3"/>
      <c r="I28" s="3"/>
      <c r="J28" s="3"/>
      <c r="K28" s="3"/>
    </row>
    <row r="29" spans="1:11">
      <c r="A29" s="2"/>
      <c r="B29" s="2"/>
      <c r="C29" s="2"/>
      <c r="D29" s="2"/>
      <c r="E29" s="2"/>
      <c r="F29" s="3"/>
      <c r="G29" s="3"/>
      <c r="H29" s="3"/>
      <c r="I29" s="3"/>
      <c r="J29" s="3"/>
      <c r="K29" s="3"/>
    </row>
    <row r="30" spans="1:11">
      <c r="A30" s="2"/>
      <c r="B30" s="2"/>
      <c r="C30" s="2"/>
      <c r="D30" s="2"/>
      <c r="E30" s="2"/>
      <c r="F30" s="3"/>
      <c r="G30" s="3"/>
      <c r="H30" s="3"/>
      <c r="I30" s="3"/>
      <c r="J30" s="3"/>
      <c r="K30" s="3"/>
    </row>
    <row r="31" spans="1:11">
      <c r="A31" s="2"/>
      <c r="B31" s="2"/>
      <c r="C31" s="2"/>
      <c r="D31" s="2"/>
      <c r="E31" s="2"/>
      <c r="F31" s="3"/>
      <c r="G31" s="3"/>
      <c r="H31" s="3"/>
      <c r="I31" s="3"/>
      <c r="J31" s="3"/>
      <c r="K31" s="3"/>
    </row>
    <row r="32" spans="1:11">
      <c r="A32" s="2"/>
      <c r="B32" s="2"/>
      <c r="C32" s="2"/>
      <c r="D32" s="2"/>
      <c r="E32" s="2"/>
      <c r="F32" s="3"/>
      <c r="G32" s="3"/>
      <c r="H32" s="3"/>
      <c r="I32" s="3"/>
      <c r="J32" s="3"/>
      <c r="K32" s="3"/>
    </row>
    <row r="33" spans="1:11">
      <c r="A33" s="2"/>
      <c r="B33" s="2"/>
      <c r="C33" s="2"/>
      <c r="D33" s="2"/>
      <c r="E33" s="2"/>
      <c r="F33" s="3"/>
      <c r="G33" s="3"/>
      <c r="H33" s="3"/>
      <c r="I33" s="3"/>
      <c r="J33" s="3"/>
      <c r="K33" s="3"/>
    </row>
    <row r="34" spans="1:11">
      <c r="A34" s="2"/>
      <c r="B34" s="2"/>
      <c r="C34" s="2"/>
      <c r="D34" s="2"/>
      <c r="E34" s="2"/>
      <c r="F34" s="3"/>
      <c r="G34" s="3"/>
      <c r="H34" s="3"/>
      <c r="I34" s="3"/>
      <c r="J34" s="3"/>
      <c r="K34" s="3"/>
    </row>
    <row r="35" spans="1:11">
      <c r="A35" s="2"/>
      <c r="B35" s="2"/>
      <c r="C35" s="2"/>
      <c r="D35" s="2"/>
      <c r="E35" s="2"/>
      <c r="F35" s="3"/>
      <c r="G35" s="3"/>
      <c r="H35" s="3"/>
      <c r="I35" s="3"/>
      <c r="J35" s="3"/>
      <c r="K35" s="3"/>
    </row>
    <row r="36" spans="1:11">
      <c r="A36" s="2"/>
      <c r="B36" s="2"/>
      <c r="C36" s="2"/>
      <c r="D36" s="2"/>
      <c r="E36" s="2"/>
      <c r="F36" s="3"/>
      <c r="G36" s="3"/>
      <c r="H36" s="3"/>
      <c r="I36" s="3"/>
      <c r="J36" s="3"/>
      <c r="K36" s="3"/>
    </row>
    <row r="37" spans="1:11">
      <c r="A37" s="2"/>
      <c r="B37" s="2"/>
      <c r="C37" s="2"/>
      <c r="D37" s="2"/>
      <c r="E37" s="2"/>
      <c r="F37" s="3"/>
      <c r="G37" s="3"/>
      <c r="H37" s="3"/>
      <c r="I37" s="3"/>
      <c r="J37" s="3"/>
      <c r="K37" s="3"/>
    </row>
    <row r="38" spans="1:11">
      <c r="A38" s="2"/>
      <c r="B38" s="2"/>
      <c r="C38" s="2"/>
      <c r="D38" s="2"/>
      <c r="E38" s="2"/>
      <c r="F38" s="3"/>
      <c r="G38" s="3"/>
      <c r="H38" s="3"/>
      <c r="I38" s="3"/>
      <c r="J38" s="3"/>
      <c r="K38" s="3"/>
    </row>
    <row r="39" spans="1:11">
      <c r="A39" s="2"/>
      <c r="B39" s="2"/>
      <c r="C39" s="2"/>
      <c r="D39" s="2"/>
      <c r="E39" s="2"/>
      <c r="F39" s="3"/>
      <c r="G39" s="3"/>
      <c r="H39" s="3"/>
      <c r="I39" s="3"/>
      <c r="J39" s="3"/>
      <c r="K39" s="3"/>
    </row>
    <row r="40" spans="1:11">
      <c r="A40" s="2"/>
      <c r="B40" s="2"/>
      <c r="C40" s="2"/>
      <c r="D40" s="2"/>
      <c r="E40" s="2"/>
      <c r="F40" s="3"/>
      <c r="G40" s="3"/>
      <c r="H40" s="3"/>
      <c r="I40" s="3"/>
      <c r="J40" s="3"/>
      <c r="K40" s="3"/>
    </row>
    <row r="41" spans="1:11">
      <c r="A41" s="2"/>
      <c r="B41" s="2"/>
      <c r="C41" s="2"/>
      <c r="D41" s="2"/>
      <c r="E41" s="2"/>
      <c r="F41" s="3"/>
      <c r="G41" s="3"/>
      <c r="H41" s="3"/>
      <c r="I41" s="3"/>
      <c r="J41" s="3"/>
      <c r="K41" s="3"/>
    </row>
    <row r="42" spans="1:11">
      <c r="A42" s="2"/>
      <c r="B42" s="2"/>
      <c r="C42" s="2"/>
      <c r="D42" s="2"/>
      <c r="E42" s="2"/>
      <c r="F42" s="3"/>
      <c r="G42" s="3"/>
      <c r="H42" s="3"/>
      <c r="I42" s="3"/>
      <c r="J42" s="3"/>
      <c r="K42" s="3"/>
    </row>
    <row r="43" spans="1:11">
      <c r="A43" s="2"/>
      <c r="B43" s="2"/>
      <c r="C43" s="2"/>
      <c r="D43" s="2"/>
      <c r="E43" s="2"/>
      <c r="F43" s="3"/>
      <c r="G43" s="3"/>
      <c r="H43" s="3"/>
      <c r="I43" s="3"/>
      <c r="J43" s="3"/>
      <c r="K43" s="3"/>
    </row>
    <row r="44" spans="1:11">
      <c r="A44" s="2"/>
      <c r="B44" s="2"/>
      <c r="C44" s="2"/>
      <c r="D44" s="2"/>
      <c r="E44" s="2"/>
      <c r="F44" s="3"/>
      <c r="G44" s="3"/>
      <c r="H44" s="3"/>
      <c r="I44" s="3"/>
      <c r="J44" s="3"/>
      <c r="K44" s="3"/>
    </row>
    <row r="45" spans="1:11">
      <c r="A45" s="2"/>
      <c r="B45" s="2"/>
      <c r="C45" s="2"/>
      <c r="D45" s="2"/>
      <c r="E45" s="2"/>
      <c r="F45" s="3"/>
      <c r="G45" s="3"/>
      <c r="H45" s="3"/>
      <c r="I45" s="3"/>
      <c r="J45" s="3"/>
      <c r="K45" s="3"/>
    </row>
    <row r="46" spans="1:11">
      <c r="A46" s="2"/>
      <c r="B46" s="2"/>
      <c r="C46" s="2"/>
      <c r="D46" s="2"/>
      <c r="E46" s="2"/>
      <c r="F46" s="3"/>
      <c r="G46" s="3"/>
      <c r="H46" s="3"/>
      <c r="I46" s="3"/>
      <c r="J46" s="3"/>
      <c r="K46" s="3"/>
    </row>
    <row r="47" spans="1:11">
      <c r="A47" s="2"/>
      <c r="B47" s="2"/>
      <c r="C47" s="2"/>
      <c r="D47" s="2"/>
      <c r="E47" s="2"/>
      <c r="F47" s="3"/>
      <c r="G47" s="3"/>
      <c r="H47" s="3"/>
      <c r="I47" s="3"/>
      <c r="J47" s="3"/>
      <c r="K47" s="3"/>
    </row>
    <row r="48" spans="1:11">
      <c r="A48" s="2"/>
      <c r="B48" s="2"/>
      <c r="C48" s="2"/>
      <c r="D48" s="2"/>
      <c r="E48" s="2"/>
      <c r="F48" s="3"/>
      <c r="G48" s="3"/>
      <c r="H48" s="3"/>
      <c r="I48" s="3"/>
      <c r="J48" s="3"/>
      <c r="K48" s="3"/>
    </row>
    <row r="49" spans="1:11">
      <c r="A49" s="2"/>
      <c r="B49" s="2"/>
      <c r="C49" s="2"/>
      <c r="D49" s="2"/>
      <c r="E49" s="2"/>
      <c r="F49" s="3"/>
      <c r="G49" s="3"/>
      <c r="H49" s="3"/>
      <c r="I49" s="3"/>
      <c r="J49" s="3"/>
      <c r="K49" s="3"/>
    </row>
    <row r="50" spans="1:11">
      <c r="A50" s="2"/>
      <c r="B50" s="2"/>
      <c r="C50" s="2"/>
      <c r="D50" s="2"/>
      <c r="E50" s="2"/>
      <c r="F50" s="3"/>
      <c r="G50" s="3"/>
      <c r="H50" s="3"/>
      <c r="I50" s="3"/>
      <c r="J50" s="3"/>
      <c r="K50" s="3"/>
    </row>
    <row r="51" spans="1:11">
      <c r="A51" s="2"/>
      <c r="B51" s="2"/>
      <c r="C51" s="2"/>
      <c r="D51" s="2"/>
      <c r="E51" s="2"/>
      <c r="F51" s="3"/>
      <c r="G51" s="3"/>
      <c r="H51" s="3"/>
      <c r="I51" s="3"/>
      <c r="J51" s="3"/>
      <c r="K51" s="3"/>
    </row>
    <row r="52" spans="1:11">
      <c r="A52" s="2"/>
      <c r="B52" s="2"/>
      <c r="C52" s="2"/>
      <c r="D52" s="2"/>
      <c r="E52" s="2"/>
      <c r="F52" s="3"/>
      <c r="G52" s="3"/>
      <c r="H52" s="3"/>
      <c r="I52" s="3"/>
      <c r="J52" s="3"/>
      <c r="K52" s="3"/>
    </row>
    <row r="53" spans="1:11">
      <c r="A53" s="2"/>
      <c r="B53" s="2"/>
      <c r="C53" s="2"/>
      <c r="D53" s="2"/>
      <c r="E53" s="2"/>
      <c r="F53" s="3"/>
      <c r="G53" s="3"/>
      <c r="H53" s="3"/>
      <c r="I53" s="3"/>
      <c r="J53" s="3"/>
      <c r="K53" s="3"/>
    </row>
    <row r="54" spans="1:11">
      <c r="A54" s="2"/>
      <c r="B54" s="2"/>
      <c r="C54" s="2"/>
      <c r="D54" s="2"/>
      <c r="E54" s="2"/>
      <c r="F54" s="3"/>
      <c r="G54" s="3"/>
      <c r="H54" s="3"/>
      <c r="I54" s="3"/>
      <c r="J54" s="3"/>
      <c r="K54" s="3"/>
    </row>
    <row r="55" spans="1:11">
      <c r="A55" s="2"/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76">
    <tabColor theme="1"/>
  </sheetPr>
  <dimension ref="A1:K55"/>
  <sheetViews>
    <sheetView zoomScaleNormal="10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F18" sqref="F18"/>
    </sheetView>
  </sheetViews>
  <sheetFormatPr defaultColWidth="11.453125" defaultRowHeight="12.5" outlineLevelCol="1"/>
  <cols>
    <col min="3" max="5" width="11.453125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101210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>
        <v>101211</v>
      </c>
      <c r="B3" s="5"/>
      <c r="C3" s="8" t="s">
        <v>2</v>
      </c>
      <c r="D3" s="2" t="s">
        <v>2</v>
      </c>
      <c r="E3" s="2" t="s">
        <v>2</v>
      </c>
      <c r="F3" s="6" t="s">
        <v>143</v>
      </c>
      <c r="G3" s="3" t="s">
        <v>144</v>
      </c>
      <c r="H3" s="3" t="s">
        <v>144</v>
      </c>
      <c r="I3" s="7" t="s">
        <v>145</v>
      </c>
      <c r="J3" s="7" t="s">
        <v>146</v>
      </c>
      <c r="K3" s="7" t="s">
        <v>147</v>
      </c>
    </row>
    <row r="4" spans="1:11">
      <c r="A4" s="2">
        <v>101212</v>
      </c>
      <c r="B4" s="2">
        <v>1</v>
      </c>
      <c r="C4" s="2">
        <v>3</v>
      </c>
      <c r="D4" s="2">
        <f>VLOOKUP($C4,DEFINES!$A$2:$C$10,2,)</f>
        <v>3</v>
      </c>
      <c r="E4" s="2">
        <f>VLOOKUP($C4,DEFINES!$A$2:$C$10,3,)</f>
        <v>0</v>
      </c>
      <c r="F4" s="3" t="s">
        <v>138</v>
      </c>
      <c r="G4" s="3" t="s">
        <v>80</v>
      </c>
      <c r="H4" s="3" t="s">
        <v>80</v>
      </c>
      <c r="I4" s="6" t="s">
        <v>40</v>
      </c>
      <c r="J4" s="6" t="s">
        <v>41</v>
      </c>
      <c r="K4" s="6" t="s">
        <v>42</v>
      </c>
    </row>
    <row r="5" spans="1:11">
      <c r="A5" s="2">
        <v>101213</v>
      </c>
      <c r="B5" s="2">
        <v>2</v>
      </c>
      <c r="C5" s="2">
        <v>4</v>
      </c>
      <c r="D5" s="2">
        <f>VLOOKUP($C5,DEFINES!$A$2:$C$10,2,)</f>
        <v>3</v>
      </c>
      <c r="E5" s="2">
        <f>VLOOKUP($C5,DEFINES!$A$2:$C$10,3,)</f>
        <v>0</v>
      </c>
      <c r="F5" s="3" t="s">
        <v>138</v>
      </c>
      <c r="G5" s="3" t="s">
        <v>80</v>
      </c>
      <c r="H5" s="3" t="s">
        <v>80</v>
      </c>
      <c r="I5" s="6" t="s">
        <v>40</v>
      </c>
      <c r="J5" s="6" t="s">
        <v>41</v>
      </c>
      <c r="K5" s="6" t="s">
        <v>42</v>
      </c>
    </row>
    <row r="6" spans="1:11">
      <c r="A6" s="2">
        <v>101214</v>
      </c>
      <c r="B6" s="2">
        <v>3</v>
      </c>
      <c r="C6" s="2">
        <v>4</v>
      </c>
      <c r="D6" s="2">
        <f>VLOOKUP($C6,DEFINES!$A$2:$C$10,2,)</f>
        <v>3</v>
      </c>
      <c r="E6" s="2">
        <f>VLOOKUP($C6,DEFINES!$A$2:$C$10,3,)</f>
        <v>0</v>
      </c>
      <c r="F6" s="3" t="s">
        <v>138</v>
      </c>
      <c r="G6" s="3" t="s">
        <v>80</v>
      </c>
      <c r="H6" s="3" t="s">
        <v>80</v>
      </c>
      <c r="I6" s="6" t="s">
        <v>40</v>
      </c>
      <c r="J6" s="6" t="s">
        <v>41</v>
      </c>
      <c r="K6" s="6" t="s">
        <v>42</v>
      </c>
    </row>
    <row r="7" spans="1:11">
      <c r="A7" s="2">
        <v>101215</v>
      </c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3" t="s">
        <v>138</v>
      </c>
      <c r="G7" s="3" t="s">
        <v>80</v>
      </c>
      <c r="H7" s="3" t="s">
        <v>80</v>
      </c>
      <c r="I7" s="6" t="s">
        <v>40</v>
      </c>
      <c r="J7" s="6" t="s">
        <v>41</v>
      </c>
      <c r="K7" s="6" t="s">
        <v>42</v>
      </c>
    </row>
    <row r="8" spans="1:11">
      <c r="A8" s="2">
        <v>101216</v>
      </c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3" t="s">
        <v>138</v>
      </c>
      <c r="G8" s="3" t="s">
        <v>80</v>
      </c>
      <c r="H8" s="3" t="s">
        <v>80</v>
      </c>
      <c r="I8" s="6" t="s">
        <v>40</v>
      </c>
      <c r="J8" s="6" t="s">
        <v>41</v>
      </c>
      <c r="K8" s="6" t="s">
        <v>42</v>
      </c>
    </row>
    <row r="9" spans="1:11">
      <c r="A9" s="2">
        <v>101217</v>
      </c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3" t="s">
        <v>138</v>
      </c>
      <c r="G9" s="3" t="s">
        <v>80</v>
      </c>
      <c r="H9" s="3" t="s">
        <v>80</v>
      </c>
      <c r="I9" s="6" t="s">
        <v>40</v>
      </c>
      <c r="J9" s="6" t="s">
        <v>41</v>
      </c>
      <c r="K9" s="6" t="s">
        <v>42</v>
      </c>
    </row>
    <row r="10" spans="1:11">
      <c r="A10" s="2">
        <v>101218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138</v>
      </c>
      <c r="G10" s="3" t="s">
        <v>80</v>
      </c>
      <c r="H10" s="3" t="s">
        <v>80</v>
      </c>
      <c r="I10" s="6" t="s">
        <v>40</v>
      </c>
      <c r="J10" s="6" t="s">
        <v>41</v>
      </c>
      <c r="K10" s="6" t="s">
        <v>42</v>
      </c>
    </row>
    <row r="11" spans="1:11">
      <c r="A11" s="2">
        <v>101219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3" t="s">
        <v>138</v>
      </c>
      <c r="G11" s="3" t="s">
        <v>80</v>
      </c>
      <c r="H11" s="3" t="s">
        <v>80</v>
      </c>
      <c r="I11" s="6" t="s">
        <v>40</v>
      </c>
      <c r="J11" s="6" t="s">
        <v>41</v>
      </c>
      <c r="K11" s="6" t="s">
        <v>42</v>
      </c>
    </row>
    <row r="12" spans="1:11">
      <c r="A12" s="2"/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138</v>
      </c>
      <c r="G12" s="3" t="s">
        <v>80</v>
      </c>
      <c r="H12" s="3" t="s">
        <v>80</v>
      </c>
      <c r="I12" s="6" t="s">
        <v>40</v>
      </c>
      <c r="J12" s="6" t="s">
        <v>41</v>
      </c>
      <c r="K12" s="6" t="s">
        <v>42</v>
      </c>
    </row>
    <row r="13" spans="1:11">
      <c r="A13" s="2"/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138</v>
      </c>
      <c r="G13" s="3" t="s">
        <v>80</v>
      </c>
      <c r="H13" s="3" t="s">
        <v>80</v>
      </c>
      <c r="I13" s="6" t="s">
        <v>40</v>
      </c>
      <c r="J13" s="6" t="s">
        <v>41</v>
      </c>
      <c r="K13" s="6" t="s">
        <v>42</v>
      </c>
    </row>
    <row r="14" spans="1:11">
      <c r="A14" s="2"/>
      <c r="B14" s="10"/>
      <c r="C14" s="10"/>
      <c r="D14" s="10"/>
      <c r="E14" s="10"/>
      <c r="F14" s="12"/>
      <c r="G14" s="12"/>
      <c r="H14" s="12"/>
      <c r="I14" s="12"/>
      <c r="J14" s="12"/>
      <c r="K14" s="12"/>
    </row>
    <row r="15" spans="1:11">
      <c r="A15" s="10"/>
      <c r="B15" s="2"/>
      <c r="C15" s="2"/>
      <c r="D15" s="2"/>
      <c r="E15" s="2"/>
      <c r="F15" s="3"/>
      <c r="G15" s="3"/>
      <c r="H15" s="3"/>
      <c r="I15" s="3"/>
      <c r="J15" s="3"/>
      <c r="K15" s="3"/>
    </row>
    <row r="16" spans="1:11">
      <c r="A16" s="2"/>
      <c r="B16" s="2"/>
      <c r="C16" s="2"/>
      <c r="D16" s="2"/>
      <c r="E16" s="2"/>
      <c r="F16" s="3"/>
      <c r="G16" s="3"/>
      <c r="H16" s="3"/>
      <c r="I16" s="3"/>
      <c r="J16" s="3"/>
      <c r="K16" s="3"/>
    </row>
    <row r="17" spans="1:11">
      <c r="A17" s="2"/>
      <c r="B17" s="2"/>
      <c r="C17" s="2"/>
      <c r="D17" s="2"/>
      <c r="E17" s="2"/>
      <c r="F17" s="3"/>
      <c r="G17" s="3"/>
      <c r="H17" s="3"/>
      <c r="I17" s="3"/>
      <c r="J17" s="3"/>
      <c r="K17" s="3"/>
    </row>
    <row r="18" spans="1:11">
      <c r="A18" s="2"/>
      <c r="B18" s="2"/>
      <c r="C18" s="2"/>
      <c r="D18" s="2"/>
      <c r="E18" s="2"/>
      <c r="F18" s="3"/>
      <c r="G18" s="3"/>
      <c r="H18" s="3"/>
      <c r="I18" s="3"/>
      <c r="J18" s="3"/>
      <c r="K18" s="3"/>
    </row>
    <row r="19" spans="1:11">
      <c r="A19" s="2"/>
      <c r="B19" s="2"/>
      <c r="C19" s="2"/>
      <c r="D19" s="2"/>
      <c r="E19" s="2"/>
      <c r="F19" s="3"/>
      <c r="G19" s="3"/>
      <c r="H19" s="3"/>
      <c r="I19" s="3"/>
      <c r="J19" s="3"/>
      <c r="K19" s="3"/>
    </row>
    <row r="20" spans="1:11">
      <c r="A20" s="2"/>
      <c r="B20" s="2"/>
      <c r="C20" s="2"/>
      <c r="D20" s="2"/>
      <c r="E20" s="2"/>
      <c r="F20" s="3"/>
      <c r="G20" s="3"/>
      <c r="H20" s="3"/>
      <c r="I20" s="3"/>
      <c r="J20" s="3"/>
      <c r="K20" s="3"/>
    </row>
    <row r="21" spans="1:11">
      <c r="A21" s="2"/>
      <c r="B21" s="2"/>
      <c r="C21" s="2"/>
      <c r="D21" s="2"/>
      <c r="E21" s="2"/>
      <c r="F21" s="3"/>
      <c r="G21" s="3"/>
      <c r="H21" s="3"/>
      <c r="I21" s="3"/>
      <c r="J21" s="3"/>
      <c r="K21" s="3"/>
    </row>
    <row r="22" spans="1:11">
      <c r="A22" s="2"/>
      <c r="B22" s="2"/>
      <c r="C22" s="2"/>
      <c r="D22" s="2"/>
      <c r="E22" s="2"/>
      <c r="F22" s="3"/>
      <c r="G22" s="3"/>
      <c r="H22" s="3"/>
      <c r="I22" s="3"/>
      <c r="J22" s="3"/>
      <c r="K22" s="3"/>
    </row>
    <row r="23" spans="1:11">
      <c r="A23" s="2"/>
      <c r="B23" s="2"/>
      <c r="C23" s="2"/>
      <c r="D23" s="2"/>
      <c r="E23" s="2"/>
      <c r="F23" s="3"/>
      <c r="G23" s="3"/>
      <c r="H23" s="3"/>
      <c r="I23" s="3"/>
      <c r="J23" s="3"/>
      <c r="K23" s="3"/>
    </row>
    <row r="24" spans="1:11">
      <c r="A24" s="2"/>
      <c r="B24" s="2"/>
      <c r="C24" s="2"/>
      <c r="D24" s="2"/>
      <c r="E24" s="2"/>
      <c r="F24" s="3"/>
      <c r="G24" s="3"/>
      <c r="H24" s="3"/>
      <c r="I24" s="3"/>
      <c r="J24" s="3"/>
      <c r="K24" s="3"/>
    </row>
    <row r="25" spans="1:11">
      <c r="A25" s="2"/>
      <c r="B25" s="2"/>
      <c r="C25" s="2"/>
      <c r="D25" s="2"/>
      <c r="E25" s="2"/>
      <c r="F25" s="3"/>
      <c r="G25" s="3"/>
      <c r="H25" s="3"/>
      <c r="I25" s="3"/>
      <c r="J25" s="3"/>
      <c r="K25" s="3"/>
    </row>
    <row r="26" spans="1:11">
      <c r="A26" s="2"/>
      <c r="B26" s="2"/>
      <c r="C26" s="2"/>
      <c r="D26" s="2"/>
      <c r="E26" s="2"/>
      <c r="F26" s="3"/>
      <c r="G26" s="3"/>
      <c r="H26" s="3"/>
      <c r="I26" s="3"/>
      <c r="J26" s="3"/>
      <c r="K26" s="3"/>
    </row>
    <row r="27" spans="1:11">
      <c r="A27" s="2"/>
      <c r="B27" s="2"/>
      <c r="C27" s="2"/>
      <c r="D27" s="2"/>
      <c r="E27" s="2"/>
      <c r="F27" s="3"/>
      <c r="G27" s="3"/>
      <c r="H27" s="3"/>
      <c r="I27" s="3"/>
      <c r="J27" s="3"/>
      <c r="K27" s="3"/>
    </row>
    <row r="28" spans="1:11">
      <c r="A28" s="2"/>
      <c r="B28" s="2"/>
      <c r="C28" s="2"/>
      <c r="D28" s="2"/>
      <c r="E28" s="2"/>
      <c r="F28" s="3"/>
      <c r="G28" s="3"/>
      <c r="H28" s="3"/>
      <c r="I28" s="3"/>
      <c r="J28" s="3"/>
      <c r="K28" s="3"/>
    </row>
    <row r="29" spans="1:11">
      <c r="A29" s="2"/>
      <c r="B29" s="2"/>
      <c r="C29" s="2"/>
      <c r="D29" s="2"/>
      <c r="E29" s="2"/>
      <c r="F29" s="3"/>
      <c r="G29" s="3"/>
      <c r="H29" s="3"/>
      <c r="I29" s="3"/>
      <c r="J29" s="3"/>
      <c r="K29" s="3"/>
    </row>
    <row r="30" spans="1:11">
      <c r="A30" s="2"/>
      <c r="B30" s="2"/>
      <c r="C30" s="2"/>
      <c r="D30" s="2"/>
      <c r="E30" s="2"/>
      <c r="F30" s="3"/>
      <c r="G30" s="3"/>
      <c r="H30" s="3"/>
      <c r="I30" s="3"/>
      <c r="J30" s="3"/>
      <c r="K30" s="3"/>
    </row>
    <row r="31" spans="1:11">
      <c r="A31" s="2"/>
      <c r="B31" s="2"/>
      <c r="C31" s="2"/>
      <c r="D31" s="2"/>
      <c r="E31" s="2"/>
      <c r="F31" s="3"/>
      <c r="G31" s="3"/>
      <c r="H31" s="3"/>
      <c r="I31" s="3"/>
      <c r="J31" s="3"/>
      <c r="K31" s="3"/>
    </row>
    <row r="32" spans="1:11">
      <c r="A32" s="2"/>
      <c r="B32" s="2"/>
      <c r="C32" s="2"/>
      <c r="D32" s="2"/>
      <c r="E32" s="2"/>
      <c r="F32" s="3"/>
      <c r="G32" s="3"/>
      <c r="H32" s="3"/>
      <c r="I32" s="3"/>
      <c r="J32" s="3"/>
      <c r="K32" s="3"/>
    </row>
    <row r="33" spans="1:11">
      <c r="A33" s="2"/>
      <c r="B33" s="2"/>
      <c r="C33" s="2"/>
      <c r="D33" s="2"/>
      <c r="E33" s="2"/>
      <c r="F33" s="3"/>
      <c r="G33" s="3"/>
      <c r="H33" s="3"/>
      <c r="I33" s="3"/>
      <c r="J33" s="3"/>
      <c r="K33" s="3"/>
    </row>
    <row r="34" spans="1:11">
      <c r="A34" s="2"/>
      <c r="B34" s="2"/>
      <c r="C34" s="2"/>
      <c r="D34" s="2"/>
      <c r="E34" s="2"/>
      <c r="F34" s="3"/>
      <c r="G34" s="3"/>
      <c r="H34" s="3"/>
      <c r="I34" s="3"/>
      <c r="J34" s="3"/>
      <c r="K34" s="3"/>
    </row>
    <row r="35" spans="1:11">
      <c r="A35" s="2"/>
      <c r="B35" s="2"/>
      <c r="C35" s="2"/>
      <c r="D35" s="2"/>
      <c r="E35" s="2"/>
      <c r="F35" s="3"/>
      <c r="G35" s="3"/>
      <c r="H35" s="3"/>
      <c r="I35" s="3"/>
      <c r="J35" s="3"/>
      <c r="K35" s="3"/>
    </row>
    <row r="36" spans="1:11">
      <c r="A36" s="2"/>
      <c r="B36" s="2"/>
      <c r="C36" s="2"/>
      <c r="D36" s="2"/>
      <c r="E36" s="2"/>
      <c r="F36" s="3"/>
      <c r="G36" s="3"/>
      <c r="H36" s="3"/>
      <c r="I36" s="3"/>
      <c r="J36" s="3"/>
      <c r="K36" s="3"/>
    </row>
    <row r="37" spans="1:11">
      <c r="A37" s="2"/>
      <c r="B37" s="2"/>
      <c r="C37" s="2"/>
      <c r="D37" s="2"/>
      <c r="E37" s="2"/>
      <c r="F37" s="3"/>
      <c r="G37" s="3"/>
      <c r="H37" s="3"/>
      <c r="I37" s="3"/>
      <c r="J37" s="3"/>
      <c r="K37" s="3"/>
    </row>
    <row r="38" spans="1:11">
      <c r="A38" s="2"/>
      <c r="B38" s="2"/>
      <c r="C38" s="2"/>
      <c r="D38" s="2"/>
      <c r="E38" s="2"/>
      <c r="F38" s="3"/>
      <c r="G38" s="3"/>
      <c r="H38" s="3"/>
      <c r="I38" s="3"/>
      <c r="J38" s="3"/>
      <c r="K38" s="3"/>
    </row>
    <row r="39" spans="1:11">
      <c r="A39" s="2"/>
      <c r="B39" s="2"/>
      <c r="C39" s="2"/>
      <c r="D39" s="2"/>
      <c r="E39" s="2"/>
      <c r="F39" s="3"/>
      <c r="G39" s="3"/>
      <c r="H39" s="3"/>
      <c r="I39" s="3"/>
      <c r="J39" s="3"/>
      <c r="K39" s="3"/>
    </row>
    <row r="40" spans="1:11">
      <c r="A40" s="2"/>
      <c r="B40" s="2"/>
      <c r="C40" s="2"/>
      <c r="D40" s="2"/>
      <c r="E40" s="2"/>
      <c r="F40" s="3"/>
      <c r="G40" s="3"/>
      <c r="H40" s="3"/>
      <c r="I40" s="3"/>
      <c r="J40" s="3"/>
      <c r="K40" s="3"/>
    </row>
    <row r="41" spans="1:11">
      <c r="A41" s="2"/>
      <c r="B41" s="2"/>
      <c r="C41" s="2"/>
      <c r="D41" s="2"/>
      <c r="E41" s="2"/>
      <c r="F41" s="3"/>
      <c r="G41" s="3"/>
      <c r="H41" s="3"/>
      <c r="I41" s="3"/>
      <c r="J41" s="3"/>
      <c r="K41" s="3"/>
    </row>
    <row r="42" spans="1:11">
      <c r="A42" s="2"/>
      <c r="B42" s="2"/>
      <c r="C42" s="2"/>
      <c r="D42" s="2"/>
      <c r="E42" s="2"/>
      <c r="F42" s="3"/>
      <c r="G42" s="3"/>
      <c r="H42" s="3"/>
      <c r="I42" s="3"/>
      <c r="J42" s="3"/>
      <c r="K42" s="3"/>
    </row>
    <row r="43" spans="1:11">
      <c r="A43" s="2"/>
      <c r="B43" s="2"/>
      <c r="C43" s="2"/>
      <c r="D43" s="2"/>
      <c r="E43" s="2"/>
      <c r="F43" s="3"/>
      <c r="G43" s="3"/>
      <c r="H43" s="3"/>
      <c r="I43" s="3"/>
      <c r="J43" s="3"/>
      <c r="K43" s="3"/>
    </row>
    <row r="44" spans="1:11">
      <c r="A44" s="2"/>
      <c r="B44" s="2"/>
      <c r="C44" s="2"/>
      <c r="D44" s="2"/>
      <c r="E44" s="2"/>
      <c r="F44" s="3"/>
      <c r="G44" s="3"/>
      <c r="H44" s="3"/>
      <c r="I44" s="3"/>
      <c r="J44" s="3"/>
      <c r="K44" s="3"/>
    </row>
    <row r="45" spans="1:11">
      <c r="A45" s="2"/>
      <c r="B45" s="2"/>
      <c r="C45" s="2"/>
      <c r="D45" s="2"/>
      <c r="E45" s="2"/>
      <c r="F45" s="3"/>
      <c r="G45" s="3"/>
      <c r="H45" s="3"/>
      <c r="I45" s="3"/>
      <c r="J45" s="3"/>
      <c r="K45" s="3"/>
    </row>
    <row r="46" spans="1:11">
      <c r="A46" s="2"/>
      <c r="B46" s="2"/>
      <c r="C46" s="2"/>
      <c r="D46" s="2"/>
      <c r="E46" s="2"/>
      <c r="F46" s="3"/>
      <c r="G46" s="3"/>
      <c r="H46" s="3"/>
      <c r="I46" s="3"/>
      <c r="J46" s="3"/>
      <c r="K46" s="3"/>
    </row>
    <row r="47" spans="1:11">
      <c r="A47" s="2"/>
      <c r="B47" s="2"/>
      <c r="C47" s="2"/>
      <c r="D47" s="2"/>
      <c r="E47" s="2"/>
      <c r="F47" s="3"/>
      <c r="G47" s="3"/>
      <c r="H47" s="3"/>
      <c r="I47" s="3"/>
      <c r="J47" s="3"/>
      <c r="K47" s="3"/>
    </row>
    <row r="48" spans="1:11">
      <c r="A48" s="2"/>
      <c r="B48" s="2"/>
      <c r="C48" s="2"/>
      <c r="D48" s="2"/>
      <c r="E48" s="2"/>
      <c r="F48" s="3"/>
      <c r="G48" s="3"/>
      <c r="H48" s="3"/>
      <c r="I48" s="3"/>
      <c r="J48" s="3"/>
      <c r="K48" s="3"/>
    </row>
    <row r="49" spans="1:11">
      <c r="A49" s="2"/>
      <c r="B49" s="2"/>
      <c r="C49" s="2"/>
      <c r="D49" s="2"/>
      <c r="E49" s="2"/>
      <c r="F49" s="3"/>
      <c r="G49" s="3"/>
      <c r="H49" s="3"/>
      <c r="I49" s="3"/>
      <c r="J49" s="3"/>
      <c r="K49" s="3"/>
    </row>
    <row r="50" spans="1:11">
      <c r="A50" s="2"/>
      <c r="B50" s="2"/>
      <c r="C50" s="2"/>
      <c r="D50" s="2"/>
      <c r="E50" s="2"/>
      <c r="F50" s="3"/>
      <c r="G50" s="3"/>
      <c r="H50" s="3"/>
      <c r="I50" s="3"/>
      <c r="J50" s="3"/>
      <c r="K50" s="3"/>
    </row>
    <row r="51" spans="1:11">
      <c r="A51" s="2"/>
      <c r="B51" s="2"/>
      <c r="C51" s="2"/>
      <c r="D51" s="2"/>
      <c r="E51" s="2"/>
      <c r="F51" s="3"/>
      <c r="G51" s="3"/>
      <c r="H51" s="3"/>
      <c r="I51" s="3"/>
      <c r="J51" s="3"/>
      <c r="K51" s="3"/>
    </row>
    <row r="52" spans="1:11">
      <c r="A52" s="2"/>
      <c r="B52" s="2"/>
      <c r="C52" s="2"/>
      <c r="D52" s="2"/>
      <c r="E52" s="2"/>
      <c r="F52" s="3"/>
      <c r="G52" s="3"/>
      <c r="H52" s="3"/>
      <c r="I52" s="3"/>
      <c r="J52" s="3"/>
      <c r="K52" s="3"/>
    </row>
    <row r="53" spans="1:11">
      <c r="A53" s="2"/>
      <c r="B53" s="2"/>
      <c r="C53" s="2"/>
      <c r="D53" s="2"/>
      <c r="E53" s="2"/>
      <c r="F53" s="3"/>
      <c r="G53" s="3"/>
      <c r="H53" s="3"/>
      <c r="I53" s="3"/>
      <c r="J53" s="3"/>
      <c r="K53" s="3"/>
    </row>
    <row r="54" spans="1:11">
      <c r="A54" s="2"/>
      <c r="B54" s="2"/>
      <c r="C54" s="2"/>
      <c r="D54" s="2"/>
      <c r="E54" s="2"/>
      <c r="F54" s="3"/>
      <c r="G54" s="3"/>
      <c r="H54" s="3"/>
      <c r="I54" s="3"/>
      <c r="J54" s="3"/>
      <c r="K54" s="3"/>
    </row>
    <row r="55" spans="1:11">
      <c r="A55" s="2"/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78">
    <tabColor theme="1"/>
  </sheetPr>
  <dimension ref="A1:K55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4" sqref="C4:E13"/>
    </sheetView>
  </sheetViews>
  <sheetFormatPr defaultColWidth="11.453125" defaultRowHeight="12.5" outlineLevelCol="1"/>
  <cols>
    <col min="3" max="5" width="11.453125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101220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>
        <v>101221</v>
      </c>
      <c r="B3" s="5"/>
      <c r="C3" s="8" t="s">
        <v>2</v>
      </c>
      <c r="D3" s="2" t="s">
        <v>2</v>
      </c>
      <c r="E3" s="2" t="s">
        <v>2</v>
      </c>
      <c r="F3" s="6" t="s">
        <v>148</v>
      </c>
      <c r="G3" s="3" t="s">
        <v>149</v>
      </c>
      <c r="H3" s="3" t="s">
        <v>149</v>
      </c>
      <c r="I3" s="7" t="s">
        <v>150</v>
      </c>
      <c r="J3" s="7" t="s">
        <v>151</v>
      </c>
      <c r="K3" s="7" t="s">
        <v>152</v>
      </c>
    </row>
    <row r="4" spans="1:11">
      <c r="A4" s="2">
        <v>101222</v>
      </c>
      <c r="B4" s="2">
        <v>1</v>
      </c>
      <c r="C4" s="2">
        <v>7</v>
      </c>
      <c r="D4" s="2">
        <f>VLOOKUP($C4,DEFINES!$A$2:$C$10,2,)</f>
        <v>1</v>
      </c>
      <c r="E4" s="2">
        <f>VLOOKUP($C4,DEFINES!$A$2:$C$10,3,)</f>
        <v>1</v>
      </c>
      <c r="F4" s="3" t="s">
        <v>138</v>
      </c>
      <c r="G4" s="3" t="s">
        <v>80</v>
      </c>
      <c r="H4" s="3" t="s">
        <v>80</v>
      </c>
      <c r="I4" s="6" t="s">
        <v>40</v>
      </c>
      <c r="J4" s="6" t="s">
        <v>41</v>
      </c>
      <c r="K4" s="6" t="s">
        <v>42</v>
      </c>
    </row>
    <row r="5" spans="1:11">
      <c r="A5" s="2">
        <v>101223</v>
      </c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3" t="s">
        <v>138</v>
      </c>
      <c r="G5" s="3" t="s">
        <v>80</v>
      </c>
      <c r="H5" s="3" t="s">
        <v>80</v>
      </c>
      <c r="I5" s="6" t="s">
        <v>40</v>
      </c>
      <c r="J5" s="6" t="s">
        <v>41</v>
      </c>
      <c r="K5" s="6" t="s">
        <v>42</v>
      </c>
    </row>
    <row r="6" spans="1:11">
      <c r="A6" s="2">
        <v>101224</v>
      </c>
      <c r="B6" s="2">
        <v>3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3" t="s">
        <v>138</v>
      </c>
      <c r="G6" s="3" t="s">
        <v>80</v>
      </c>
      <c r="H6" s="3" t="s">
        <v>80</v>
      </c>
      <c r="I6" s="6" t="s">
        <v>40</v>
      </c>
      <c r="J6" s="6" t="s">
        <v>41</v>
      </c>
      <c r="K6" s="6" t="s">
        <v>42</v>
      </c>
    </row>
    <row r="7" spans="1:11">
      <c r="A7" s="2">
        <v>101225</v>
      </c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3" t="s">
        <v>138</v>
      </c>
      <c r="G7" s="3" t="s">
        <v>80</v>
      </c>
      <c r="H7" s="3" t="s">
        <v>80</v>
      </c>
      <c r="I7" s="6" t="s">
        <v>40</v>
      </c>
      <c r="J7" s="6" t="s">
        <v>41</v>
      </c>
      <c r="K7" s="6" t="s">
        <v>42</v>
      </c>
    </row>
    <row r="8" spans="1:11">
      <c r="A8" s="2">
        <v>101226</v>
      </c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3" t="s">
        <v>138</v>
      </c>
      <c r="G8" s="3" t="s">
        <v>80</v>
      </c>
      <c r="H8" s="3" t="s">
        <v>80</v>
      </c>
      <c r="I8" s="6" t="s">
        <v>40</v>
      </c>
      <c r="J8" s="6" t="s">
        <v>41</v>
      </c>
      <c r="K8" s="6" t="s">
        <v>42</v>
      </c>
    </row>
    <row r="9" spans="1:11">
      <c r="A9" s="2">
        <v>101227</v>
      </c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3" t="s">
        <v>138</v>
      </c>
      <c r="G9" s="3" t="s">
        <v>80</v>
      </c>
      <c r="H9" s="3" t="s">
        <v>80</v>
      </c>
      <c r="I9" s="6" t="s">
        <v>40</v>
      </c>
      <c r="J9" s="6" t="s">
        <v>41</v>
      </c>
      <c r="K9" s="6" t="s">
        <v>42</v>
      </c>
    </row>
    <row r="10" spans="1:11">
      <c r="A10" s="2">
        <v>101228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138</v>
      </c>
      <c r="G10" s="3" t="s">
        <v>80</v>
      </c>
      <c r="H10" s="3" t="s">
        <v>80</v>
      </c>
      <c r="I10" s="6" t="s">
        <v>40</v>
      </c>
      <c r="J10" s="6" t="s">
        <v>41</v>
      </c>
      <c r="K10" s="6" t="s">
        <v>42</v>
      </c>
    </row>
    <row r="11" spans="1:11">
      <c r="A11" s="2">
        <v>101229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3" t="s">
        <v>138</v>
      </c>
      <c r="G11" s="3" t="s">
        <v>80</v>
      </c>
      <c r="H11" s="3" t="s">
        <v>80</v>
      </c>
      <c r="I11" s="6" t="s">
        <v>40</v>
      </c>
      <c r="J11" s="6" t="s">
        <v>41</v>
      </c>
      <c r="K11" s="6" t="s">
        <v>42</v>
      </c>
    </row>
    <row r="12" spans="1:11">
      <c r="A12" s="2"/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138</v>
      </c>
      <c r="G12" s="3" t="s">
        <v>80</v>
      </c>
      <c r="H12" s="3" t="s">
        <v>80</v>
      </c>
      <c r="I12" s="6" t="s">
        <v>40</v>
      </c>
      <c r="J12" s="6" t="s">
        <v>41</v>
      </c>
      <c r="K12" s="6" t="s">
        <v>42</v>
      </c>
    </row>
    <row r="13" spans="1:11">
      <c r="A13" s="2"/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138</v>
      </c>
      <c r="G13" s="3" t="s">
        <v>80</v>
      </c>
      <c r="H13" s="3" t="s">
        <v>80</v>
      </c>
      <c r="I13" s="6" t="s">
        <v>40</v>
      </c>
      <c r="J13" s="6" t="s">
        <v>41</v>
      </c>
      <c r="K13" s="6" t="s">
        <v>42</v>
      </c>
    </row>
    <row r="14" spans="1:11">
      <c r="A14" s="2"/>
      <c r="B14" s="10"/>
      <c r="C14" s="10"/>
      <c r="D14" s="10"/>
      <c r="E14" s="10"/>
      <c r="F14" s="12"/>
      <c r="G14" s="12"/>
      <c r="H14" s="12"/>
      <c r="I14" s="12"/>
      <c r="J14" s="12"/>
      <c r="K14" s="12"/>
    </row>
    <row r="15" spans="1:11">
      <c r="A15" s="10"/>
      <c r="B15" s="2"/>
      <c r="C15" s="2"/>
      <c r="D15" s="2"/>
      <c r="E15" s="2"/>
      <c r="F15" s="3"/>
      <c r="G15" s="3"/>
      <c r="H15" s="3"/>
      <c r="I15" s="3"/>
      <c r="J15" s="3"/>
      <c r="K15" s="3"/>
    </row>
    <row r="16" spans="1:11">
      <c r="A16" s="2"/>
      <c r="B16" s="2"/>
      <c r="C16" s="2"/>
      <c r="D16" s="2"/>
      <c r="E16" s="2"/>
      <c r="F16" s="3"/>
      <c r="G16" s="3"/>
      <c r="H16" s="3"/>
      <c r="I16" s="3"/>
      <c r="J16" s="3"/>
      <c r="K16" s="3"/>
    </row>
    <row r="17" spans="1:11">
      <c r="A17" s="2"/>
      <c r="B17" s="2"/>
      <c r="C17" s="2"/>
      <c r="D17" s="2"/>
      <c r="E17" s="2"/>
      <c r="F17" s="3"/>
      <c r="G17" s="3"/>
      <c r="H17" s="3"/>
      <c r="I17" s="3"/>
      <c r="J17" s="3"/>
      <c r="K17" s="3"/>
    </row>
    <row r="18" spans="1:11">
      <c r="A18" s="2"/>
      <c r="B18" s="2"/>
      <c r="C18" s="2"/>
      <c r="D18" s="2"/>
      <c r="E18" s="2"/>
      <c r="F18" s="3"/>
      <c r="G18" s="3"/>
      <c r="H18" s="3"/>
      <c r="I18" s="3"/>
      <c r="J18" s="3"/>
      <c r="K18" s="3"/>
    </row>
    <row r="19" spans="1:11">
      <c r="A19" s="2"/>
      <c r="B19" s="2"/>
      <c r="C19" s="2"/>
      <c r="D19" s="2"/>
      <c r="E19" s="2"/>
      <c r="F19" s="3"/>
      <c r="G19" s="3"/>
      <c r="H19" s="3"/>
      <c r="I19" s="3"/>
      <c r="J19" s="3"/>
      <c r="K19" s="3"/>
    </row>
    <row r="20" spans="1:11">
      <c r="A20" s="2"/>
      <c r="B20" s="2"/>
      <c r="C20" s="2"/>
      <c r="D20" s="2"/>
      <c r="E20" s="2"/>
      <c r="F20" s="3"/>
      <c r="G20" s="3"/>
      <c r="H20" s="3"/>
      <c r="I20" s="3"/>
      <c r="J20" s="3"/>
      <c r="K20" s="3"/>
    </row>
    <row r="21" spans="1:11">
      <c r="A21" s="2"/>
      <c r="B21" s="2"/>
      <c r="C21" s="2"/>
      <c r="D21" s="2"/>
      <c r="E21" s="2"/>
      <c r="F21" s="3"/>
      <c r="G21" s="3"/>
      <c r="H21" s="3"/>
      <c r="I21" s="3"/>
      <c r="J21" s="3"/>
      <c r="K21" s="3"/>
    </row>
    <row r="22" spans="1:11">
      <c r="A22" s="2"/>
      <c r="B22" s="2"/>
      <c r="C22" s="2"/>
      <c r="D22" s="2"/>
      <c r="E22" s="2"/>
      <c r="F22" s="3"/>
      <c r="G22" s="3"/>
      <c r="H22" s="3"/>
      <c r="I22" s="3"/>
      <c r="J22" s="3"/>
      <c r="K22" s="3"/>
    </row>
    <row r="23" spans="1:11">
      <c r="A23" s="2"/>
      <c r="B23" s="2"/>
      <c r="C23" s="2"/>
      <c r="D23" s="2"/>
      <c r="E23" s="2"/>
      <c r="F23" s="3"/>
      <c r="G23" s="3"/>
      <c r="H23" s="3"/>
      <c r="I23" s="3"/>
      <c r="J23" s="3"/>
      <c r="K23" s="3"/>
    </row>
    <row r="24" spans="1:11">
      <c r="A24" s="2"/>
      <c r="B24" s="2"/>
      <c r="C24" s="2"/>
      <c r="D24" s="2"/>
      <c r="E24" s="2"/>
      <c r="F24" s="3"/>
      <c r="G24" s="3"/>
      <c r="H24" s="3"/>
      <c r="I24" s="3"/>
      <c r="J24" s="3"/>
      <c r="K24" s="3"/>
    </row>
    <row r="25" spans="1:11">
      <c r="A25" s="2"/>
      <c r="B25" s="2"/>
      <c r="C25" s="2"/>
      <c r="D25" s="2"/>
      <c r="E25" s="2"/>
      <c r="F25" s="3"/>
      <c r="G25" s="3"/>
      <c r="H25" s="3"/>
      <c r="I25" s="3"/>
      <c r="J25" s="3"/>
      <c r="K25" s="3"/>
    </row>
    <row r="26" spans="1:11">
      <c r="A26" s="2"/>
      <c r="B26" s="2"/>
      <c r="C26" s="2"/>
      <c r="D26" s="2"/>
      <c r="E26" s="2"/>
      <c r="F26" s="3"/>
      <c r="G26" s="3"/>
      <c r="H26" s="3"/>
      <c r="I26" s="3"/>
      <c r="J26" s="3"/>
      <c r="K26" s="3"/>
    </row>
    <row r="27" spans="1:11">
      <c r="A27" s="2"/>
      <c r="B27" s="2"/>
      <c r="C27" s="2"/>
      <c r="D27" s="2"/>
      <c r="E27" s="2"/>
      <c r="F27" s="3"/>
      <c r="G27" s="3"/>
      <c r="H27" s="3"/>
      <c r="I27" s="3"/>
      <c r="J27" s="3"/>
      <c r="K27" s="3"/>
    </row>
    <row r="28" spans="1:11">
      <c r="A28" s="2"/>
      <c r="B28" s="2"/>
      <c r="C28" s="2"/>
      <c r="D28" s="2"/>
      <c r="E28" s="2"/>
      <c r="F28" s="3"/>
      <c r="G28" s="3"/>
      <c r="H28" s="3"/>
      <c r="I28" s="3"/>
      <c r="J28" s="3"/>
      <c r="K28" s="3"/>
    </row>
    <row r="29" spans="1:11">
      <c r="A29" s="2"/>
      <c r="B29" s="2"/>
      <c r="C29" s="2"/>
      <c r="D29" s="2"/>
      <c r="E29" s="2"/>
      <c r="F29" s="3"/>
      <c r="G29" s="3"/>
      <c r="H29" s="3"/>
      <c r="I29" s="3"/>
      <c r="J29" s="3"/>
      <c r="K29" s="3"/>
    </row>
    <row r="30" spans="1:11">
      <c r="A30" s="2"/>
      <c r="B30" s="2"/>
      <c r="C30" s="2"/>
      <c r="D30" s="2"/>
      <c r="E30" s="2"/>
      <c r="F30" s="3"/>
      <c r="G30" s="3"/>
      <c r="H30" s="3"/>
      <c r="I30" s="3"/>
      <c r="J30" s="3"/>
      <c r="K30" s="3"/>
    </row>
    <row r="31" spans="1:11">
      <c r="A31" s="2"/>
      <c r="B31" s="2"/>
      <c r="C31" s="2"/>
      <c r="D31" s="2"/>
      <c r="E31" s="2"/>
      <c r="F31" s="3"/>
      <c r="G31" s="3"/>
      <c r="H31" s="3"/>
      <c r="I31" s="3"/>
      <c r="J31" s="3"/>
      <c r="K31" s="3"/>
    </row>
    <row r="32" spans="1:11">
      <c r="A32" s="2"/>
      <c r="B32" s="2"/>
      <c r="C32" s="2"/>
      <c r="D32" s="2"/>
      <c r="E32" s="2"/>
      <c r="F32" s="3"/>
      <c r="G32" s="3"/>
      <c r="H32" s="3"/>
      <c r="I32" s="3"/>
      <c r="J32" s="3"/>
      <c r="K32" s="3"/>
    </row>
    <row r="33" spans="1:11">
      <c r="A33" s="2"/>
      <c r="B33" s="2"/>
      <c r="C33" s="2"/>
      <c r="D33" s="2"/>
      <c r="E33" s="2"/>
      <c r="F33" s="3"/>
      <c r="G33" s="3"/>
      <c r="H33" s="3"/>
      <c r="I33" s="3"/>
      <c r="J33" s="3"/>
      <c r="K33" s="3"/>
    </row>
    <row r="34" spans="1:11">
      <c r="A34" s="2"/>
      <c r="B34" s="2"/>
      <c r="C34" s="2"/>
      <c r="D34" s="2"/>
      <c r="E34" s="2"/>
      <c r="F34" s="3"/>
      <c r="G34" s="3"/>
      <c r="H34" s="3"/>
      <c r="I34" s="3"/>
      <c r="J34" s="3"/>
      <c r="K34" s="3"/>
    </row>
    <row r="35" spans="1:11">
      <c r="A35" s="2"/>
      <c r="B35" s="2"/>
      <c r="C35" s="2"/>
      <c r="D35" s="2"/>
      <c r="E35" s="2"/>
      <c r="F35" s="3"/>
      <c r="G35" s="3"/>
      <c r="H35" s="3"/>
      <c r="I35" s="3"/>
      <c r="J35" s="3"/>
      <c r="K35" s="3"/>
    </row>
    <row r="36" spans="1:11">
      <c r="A36" s="2"/>
      <c r="B36" s="2"/>
      <c r="C36" s="2"/>
      <c r="D36" s="2"/>
      <c r="E36" s="2"/>
      <c r="F36" s="3"/>
      <c r="G36" s="3"/>
      <c r="H36" s="3"/>
      <c r="I36" s="3"/>
      <c r="J36" s="3"/>
      <c r="K36" s="3"/>
    </row>
    <row r="37" spans="1:11">
      <c r="A37" s="2"/>
      <c r="B37" s="2"/>
      <c r="C37" s="2"/>
      <c r="D37" s="2"/>
      <c r="E37" s="2"/>
      <c r="F37" s="3"/>
      <c r="G37" s="3"/>
      <c r="H37" s="3"/>
      <c r="I37" s="3"/>
      <c r="J37" s="3"/>
      <c r="K37" s="3"/>
    </row>
    <row r="38" spans="1:11">
      <c r="A38" s="2"/>
      <c r="B38" s="2"/>
      <c r="C38" s="2"/>
      <c r="D38" s="2"/>
      <c r="E38" s="2"/>
      <c r="F38" s="3"/>
      <c r="G38" s="3"/>
      <c r="H38" s="3"/>
      <c r="I38" s="3"/>
      <c r="J38" s="3"/>
      <c r="K38" s="3"/>
    </row>
    <row r="39" spans="1:11">
      <c r="A39" s="2"/>
      <c r="B39" s="2"/>
      <c r="C39" s="2"/>
      <c r="D39" s="2"/>
      <c r="E39" s="2"/>
      <c r="F39" s="3"/>
      <c r="G39" s="3"/>
      <c r="H39" s="3"/>
      <c r="I39" s="3"/>
      <c r="J39" s="3"/>
      <c r="K39" s="3"/>
    </row>
    <row r="40" spans="1:11">
      <c r="A40" s="2"/>
      <c r="B40" s="2"/>
      <c r="C40" s="2"/>
      <c r="D40" s="2"/>
      <c r="E40" s="2"/>
      <c r="F40" s="3"/>
      <c r="G40" s="3"/>
      <c r="H40" s="3"/>
      <c r="I40" s="3"/>
      <c r="J40" s="3"/>
      <c r="K40" s="3"/>
    </row>
    <row r="41" spans="1:11">
      <c r="A41" s="2"/>
      <c r="B41" s="2"/>
      <c r="C41" s="2"/>
      <c r="D41" s="2"/>
      <c r="E41" s="2"/>
      <c r="F41" s="3"/>
      <c r="G41" s="3"/>
      <c r="H41" s="3"/>
      <c r="I41" s="3"/>
      <c r="J41" s="3"/>
      <c r="K41" s="3"/>
    </row>
    <row r="42" spans="1:11">
      <c r="A42" s="2"/>
      <c r="B42" s="2"/>
      <c r="C42" s="2"/>
      <c r="D42" s="2"/>
      <c r="E42" s="2"/>
      <c r="F42" s="3"/>
      <c r="G42" s="3"/>
      <c r="H42" s="3"/>
      <c r="I42" s="3"/>
      <c r="J42" s="3"/>
      <c r="K42" s="3"/>
    </row>
    <row r="43" spans="1:11">
      <c r="A43" s="2"/>
      <c r="B43" s="2"/>
      <c r="C43" s="2"/>
      <c r="D43" s="2"/>
      <c r="E43" s="2"/>
      <c r="F43" s="3"/>
      <c r="G43" s="3"/>
      <c r="H43" s="3"/>
      <c r="I43" s="3"/>
      <c r="J43" s="3"/>
      <c r="K43" s="3"/>
    </row>
    <row r="44" spans="1:11">
      <c r="A44" s="2"/>
      <c r="B44" s="2"/>
      <c r="C44" s="2"/>
      <c r="D44" s="2"/>
      <c r="E44" s="2"/>
      <c r="F44" s="3"/>
      <c r="G44" s="3"/>
      <c r="H44" s="3"/>
      <c r="I44" s="3"/>
      <c r="J44" s="3"/>
      <c r="K44" s="3"/>
    </row>
    <row r="45" spans="1:11">
      <c r="A45" s="2"/>
      <c r="B45" s="2"/>
      <c r="C45" s="2"/>
      <c r="D45" s="2"/>
      <c r="E45" s="2"/>
      <c r="F45" s="3"/>
      <c r="G45" s="3"/>
      <c r="H45" s="3"/>
      <c r="I45" s="3"/>
      <c r="J45" s="3"/>
      <c r="K45" s="3"/>
    </row>
    <row r="46" spans="1:11">
      <c r="A46" s="2"/>
      <c r="B46" s="2"/>
      <c r="C46" s="2"/>
      <c r="D46" s="2"/>
      <c r="E46" s="2"/>
      <c r="F46" s="3"/>
      <c r="G46" s="3"/>
      <c r="H46" s="3"/>
      <c r="I46" s="3"/>
      <c r="J46" s="3"/>
      <c r="K46" s="3"/>
    </row>
    <row r="47" spans="1:11">
      <c r="A47" s="2"/>
      <c r="B47" s="2"/>
      <c r="C47" s="2"/>
      <c r="D47" s="2"/>
      <c r="E47" s="2"/>
      <c r="F47" s="3"/>
      <c r="G47" s="3"/>
      <c r="H47" s="3"/>
      <c r="I47" s="3"/>
      <c r="J47" s="3"/>
      <c r="K47" s="3"/>
    </row>
    <row r="48" spans="1:11">
      <c r="A48" s="2"/>
      <c r="B48" s="2"/>
      <c r="C48" s="2"/>
      <c r="D48" s="2"/>
      <c r="E48" s="2"/>
      <c r="F48" s="3"/>
      <c r="G48" s="3"/>
      <c r="H48" s="3"/>
      <c r="I48" s="3"/>
      <c r="J48" s="3"/>
      <c r="K48" s="3"/>
    </row>
    <row r="49" spans="1:11">
      <c r="A49" s="2"/>
      <c r="B49" s="2"/>
      <c r="C49" s="2"/>
      <c r="D49" s="2"/>
      <c r="E49" s="2"/>
      <c r="F49" s="3"/>
      <c r="G49" s="3"/>
      <c r="H49" s="3"/>
      <c r="I49" s="3"/>
      <c r="J49" s="3"/>
      <c r="K49" s="3"/>
    </row>
    <row r="50" spans="1:11">
      <c r="A50" s="2"/>
      <c r="B50" s="2"/>
      <c r="C50" s="2"/>
      <c r="D50" s="2"/>
      <c r="E50" s="2"/>
      <c r="F50" s="3"/>
      <c r="G50" s="3"/>
      <c r="H50" s="3"/>
      <c r="I50" s="3"/>
      <c r="J50" s="3"/>
      <c r="K50" s="3"/>
    </row>
    <row r="51" spans="1:11">
      <c r="A51" s="2"/>
      <c r="B51" s="2"/>
      <c r="C51" s="2"/>
      <c r="D51" s="2"/>
      <c r="E51" s="2"/>
      <c r="F51" s="3"/>
      <c r="G51" s="3"/>
      <c r="H51" s="3"/>
      <c r="I51" s="3"/>
      <c r="J51" s="3"/>
      <c r="K51" s="3"/>
    </row>
    <row r="52" spans="1:11">
      <c r="A52" s="2"/>
      <c r="B52" s="2"/>
      <c r="C52" s="2"/>
      <c r="D52" s="2"/>
      <c r="E52" s="2"/>
      <c r="F52" s="3"/>
      <c r="G52" s="3"/>
      <c r="H52" s="3"/>
      <c r="I52" s="3"/>
      <c r="J52" s="3"/>
      <c r="K52" s="3"/>
    </row>
    <row r="53" spans="1:11">
      <c r="A53" s="2"/>
      <c r="B53" s="2"/>
      <c r="C53" s="2"/>
      <c r="D53" s="2"/>
      <c r="E53" s="2"/>
      <c r="F53" s="3"/>
      <c r="G53" s="3"/>
      <c r="H53" s="3"/>
      <c r="I53" s="3"/>
      <c r="J53" s="3"/>
      <c r="K53" s="3"/>
    </row>
    <row r="54" spans="1:11">
      <c r="A54" s="2"/>
      <c r="B54" s="2"/>
      <c r="C54" s="2"/>
      <c r="D54" s="2"/>
      <c r="E54" s="2"/>
      <c r="F54" s="3"/>
      <c r="G54" s="3"/>
      <c r="H54" s="3"/>
      <c r="I54" s="3"/>
      <c r="J54" s="3"/>
      <c r="K54" s="3"/>
    </row>
    <row r="55" spans="1:11">
      <c r="A55" s="2"/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79">
    <tabColor theme="1"/>
  </sheetPr>
  <dimension ref="A1:K55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E13" sqref="C4:E13"/>
    </sheetView>
  </sheetViews>
  <sheetFormatPr defaultColWidth="11.453125" defaultRowHeight="12.5" outlineLevelCol="1"/>
  <cols>
    <col min="3" max="5" width="11.453125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101230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>
        <v>101231</v>
      </c>
      <c r="B3" s="5"/>
      <c r="C3" s="8" t="s">
        <v>2</v>
      </c>
      <c r="D3" s="2" t="s">
        <v>2</v>
      </c>
      <c r="E3" s="2" t="s">
        <v>2</v>
      </c>
      <c r="F3" s="6" t="s">
        <v>153</v>
      </c>
      <c r="G3" s="3" t="s">
        <v>154</v>
      </c>
      <c r="H3" s="3" t="s">
        <v>154</v>
      </c>
      <c r="I3" s="7" t="s">
        <v>155</v>
      </c>
      <c r="J3" s="7" t="s">
        <v>156</v>
      </c>
      <c r="K3" s="7" t="s">
        <v>157</v>
      </c>
    </row>
    <row r="4" spans="1:11">
      <c r="A4" s="2">
        <v>101232</v>
      </c>
      <c r="B4" s="2">
        <v>1</v>
      </c>
      <c r="C4" s="2">
        <v>7</v>
      </c>
      <c r="D4" s="2">
        <f>VLOOKUP($C4,DEFINES!$A$2:$C$10,2,)</f>
        <v>1</v>
      </c>
      <c r="E4" s="2">
        <f>VLOOKUP($C4,DEFINES!$A$2:$C$10,3,)</f>
        <v>1</v>
      </c>
      <c r="F4" s="3" t="s">
        <v>138</v>
      </c>
      <c r="G4" s="3" t="s">
        <v>80</v>
      </c>
      <c r="H4" s="3" t="s">
        <v>80</v>
      </c>
      <c r="I4" s="6" t="s">
        <v>40</v>
      </c>
      <c r="J4" s="6" t="s">
        <v>41</v>
      </c>
      <c r="K4" s="6" t="s">
        <v>42</v>
      </c>
    </row>
    <row r="5" spans="1:11">
      <c r="A5" s="2">
        <v>101233</v>
      </c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3" t="s">
        <v>138</v>
      </c>
      <c r="G5" s="3" t="s">
        <v>80</v>
      </c>
      <c r="H5" s="3" t="s">
        <v>80</v>
      </c>
      <c r="I5" s="6" t="s">
        <v>40</v>
      </c>
      <c r="J5" s="6" t="s">
        <v>41</v>
      </c>
      <c r="K5" s="6" t="s">
        <v>42</v>
      </c>
    </row>
    <row r="6" spans="1:11">
      <c r="A6" s="2">
        <v>101234</v>
      </c>
      <c r="B6" s="2">
        <v>3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3" t="s">
        <v>138</v>
      </c>
      <c r="G6" s="3" t="s">
        <v>80</v>
      </c>
      <c r="H6" s="3" t="s">
        <v>80</v>
      </c>
      <c r="I6" s="6" t="s">
        <v>40</v>
      </c>
      <c r="J6" s="6" t="s">
        <v>41</v>
      </c>
      <c r="K6" s="6" t="s">
        <v>42</v>
      </c>
    </row>
    <row r="7" spans="1:11">
      <c r="A7" s="2">
        <v>101235</v>
      </c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3" t="s">
        <v>138</v>
      </c>
      <c r="G7" s="3" t="s">
        <v>80</v>
      </c>
      <c r="H7" s="3" t="s">
        <v>80</v>
      </c>
      <c r="I7" s="6" t="s">
        <v>40</v>
      </c>
      <c r="J7" s="6" t="s">
        <v>41</v>
      </c>
      <c r="K7" s="6" t="s">
        <v>42</v>
      </c>
    </row>
    <row r="8" spans="1:11">
      <c r="A8" s="2">
        <v>101236</v>
      </c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3" t="s">
        <v>138</v>
      </c>
      <c r="G8" s="3" t="s">
        <v>80</v>
      </c>
      <c r="H8" s="3" t="s">
        <v>80</v>
      </c>
      <c r="I8" s="6" t="s">
        <v>40</v>
      </c>
      <c r="J8" s="6" t="s">
        <v>41</v>
      </c>
      <c r="K8" s="6" t="s">
        <v>42</v>
      </c>
    </row>
    <row r="9" spans="1:11">
      <c r="A9" s="2">
        <v>101237</v>
      </c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3" t="s">
        <v>138</v>
      </c>
      <c r="G9" s="3" t="s">
        <v>80</v>
      </c>
      <c r="H9" s="3" t="s">
        <v>80</v>
      </c>
      <c r="I9" s="6" t="s">
        <v>40</v>
      </c>
      <c r="J9" s="6" t="s">
        <v>41</v>
      </c>
      <c r="K9" s="6" t="s">
        <v>42</v>
      </c>
    </row>
    <row r="10" spans="1:11">
      <c r="A10" s="2">
        <v>101238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138</v>
      </c>
      <c r="G10" s="3" t="s">
        <v>80</v>
      </c>
      <c r="H10" s="3" t="s">
        <v>80</v>
      </c>
      <c r="I10" s="6" t="s">
        <v>40</v>
      </c>
      <c r="J10" s="6" t="s">
        <v>41</v>
      </c>
      <c r="K10" s="6" t="s">
        <v>42</v>
      </c>
    </row>
    <row r="11" spans="1:11">
      <c r="A11" s="2">
        <v>101239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3" t="s">
        <v>138</v>
      </c>
      <c r="G11" s="3" t="s">
        <v>80</v>
      </c>
      <c r="H11" s="3" t="s">
        <v>80</v>
      </c>
      <c r="I11" s="6" t="s">
        <v>40</v>
      </c>
      <c r="J11" s="6" t="s">
        <v>41</v>
      </c>
      <c r="K11" s="6" t="s">
        <v>42</v>
      </c>
    </row>
    <row r="12" spans="1:11">
      <c r="A12" s="2"/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138</v>
      </c>
      <c r="G12" s="3" t="s">
        <v>80</v>
      </c>
      <c r="H12" s="3" t="s">
        <v>80</v>
      </c>
      <c r="I12" s="6" t="s">
        <v>40</v>
      </c>
      <c r="J12" s="6" t="s">
        <v>41</v>
      </c>
      <c r="K12" s="6" t="s">
        <v>42</v>
      </c>
    </row>
    <row r="13" spans="1:11">
      <c r="A13" s="2"/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138</v>
      </c>
      <c r="G13" s="3" t="s">
        <v>80</v>
      </c>
      <c r="H13" s="3" t="s">
        <v>80</v>
      </c>
      <c r="I13" s="6" t="s">
        <v>40</v>
      </c>
      <c r="J13" s="6" t="s">
        <v>41</v>
      </c>
      <c r="K13" s="6" t="s">
        <v>42</v>
      </c>
    </row>
    <row r="14" spans="1:11">
      <c r="A14" s="2"/>
      <c r="B14" s="10"/>
      <c r="C14" s="10"/>
      <c r="D14" s="10"/>
      <c r="E14" s="10"/>
      <c r="F14" s="12"/>
      <c r="G14" s="12"/>
      <c r="H14" s="12"/>
      <c r="I14" s="12"/>
      <c r="J14" s="12"/>
      <c r="K14" s="12"/>
    </row>
    <row r="15" spans="1:11">
      <c r="A15" s="10"/>
      <c r="B15" s="2"/>
      <c r="C15" s="2"/>
      <c r="D15" s="2"/>
      <c r="E15" s="2"/>
      <c r="F15" s="3"/>
      <c r="G15" s="3"/>
      <c r="H15" s="3"/>
      <c r="I15" s="3"/>
      <c r="J15" s="3"/>
      <c r="K15" s="3"/>
    </row>
    <row r="16" spans="1:11">
      <c r="A16" s="2"/>
      <c r="B16" s="2"/>
      <c r="C16" s="2"/>
      <c r="D16" s="2"/>
      <c r="E16" s="2"/>
      <c r="F16" s="3"/>
      <c r="G16" s="3"/>
      <c r="H16" s="3"/>
      <c r="I16" s="3"/>
      <c r="J16" s="3"/>
      <c r="K16" s="3"/>
    </row>
    <row r="17" spans="1:11">
      <c r="A17" s="2"/>
      <c r="B17" s="2"/>
      <c r="C17" s="2"/>
      <c r="D17" s="2"/>
      <c r="E17" s="2"/>
      <c r="F17" s="3"/>
      <c r="G17" s="3"/>
      <c r="H17" s="3"/>
      <c r="I17" s="3"/>
      <c r="J17" s="3"/>
      <c r="K17" s="3"/>
    </row>
    <row r="18" spans="1:11">
      <c r="A18" s="2"/>
      <c r="B18" s="2"/>
      <c r="C18" s="2"/>
      <c r="D18" s="2"/>
      <c r="E18" s="2"/>
      <c r="F18" s="3"/>
      <c r="G18" s="3"/>
      <c r="H18" s="3"/>
      <c r="I18" s="3"/>
      <c r="J18" s="3"/>
      <c r="K18" s="3"/>
    </row>
    <row r="19" spans="1:11">
      <c r="A19" s="2"/>
      <c r="B19" s="2"/>
      <c r="C19" s="2"/>
      <c r="D19" s="2"/>
      <c r="E19" s="2"/>
      <c r="F19" s="3"/>
      <c r="G19" s="3"/>
      <c r="H19" s="3"/>
      <c r="I19" s="3"/>
      <c r="J19" s="3"/>
      <c r="K19" s="3"/>
    </row>
    <row r="20" spans="1:11">
      <c r="A20" s="2"/>
      <c r="B20" s="2"/>
      <c r="C20" s="2"/>
      <c r="D20" s="2"/>
      <c r="E20" s="2"/>
      <c r="F20" s="3"/>
      <c r="G20" s="3"/>
      <c r="H20" s="3"/>
      <c r="I20" s="3"/>
      <c r="J20" s="3"/>
      <c r="K20" s="3"/>
    </row>
    <row r="21" spans="1:11">
      <c r="A21" s="2"/>
      <c r="B21" s="2"/>
      <c r="C21" s="2"/>
      <c r="D21" s="2"/>
      <c r="E21" s="2"/>
      <c r="F21" s="3"/>
      <c r="G21" s="3"/>
      <c r="H21" s="3"/>
      <c r="I21" s="3"/>
      <c r="J21" s="3"/>
      <c r="K21" s="3"/>
    </row>
    <row r="22" spans="1:11">
      <c r="A22" s="2"/>
      <c r="B22" s="2"/>
      <c r="C22" s="2"/>
      <c r="D22" s="2"/>
      <c r="E22" s="2"/>
      <c r="F22" s="3"/>
      <c r="G22" s="3"/>
      <c r="H22" s="3"/>
      <c r="I22" s="3"/>
      <c r="J22" s="3"/>
      <c r="K22" s="3"/>
    </row>
    <row r="23" spans="1:11">
      <c r="A23" s="2"/>
      <c r="B23" s="2"/>
      <c r="C23" s="2"/>
      <c r="D23" s="2"/>
      <c r="E23" s="2"/>
      <c r="F23" s="3"/>
      <c r="G23" s="3"/>
      <c r="H23" s="3"/>
      <c r="I23" s="3"/>
      <c r="J23" s="3"/>
      <c r="K23" s="3"/>
    </row>
    <row r="24" spans="1:11">
      <c r="A24" s="2"/>
      <c r="B24" s="2"/>
      <c r="C24" s="2"/>
      <c r="D24" s="2"/>
      <c r="E24" s="2"/>
      <c r="F24" s="3"/>
      <c r="G24" s="3"/>
      <c r="H24" s="3"/>
      <c r="I24" s="3"/>
      <c r="J24" s="3"/>
      <c r="K24" s="3"/>
    </row>
    <row r="25" spans="1:11">
      <c r="A25" s="2"/>
      <c r="B25" s="2"/>
      <c r="C25" s="2"/>
      <c r="D25" s="2"/>
      <c r="E25" s="2"/>
      <c r="F25" s="3"/>
      <c r="G25" s="3"/>
      <c r="H25" s="3"/>
      <c r="I25" s="3"/>
      <c r="J25" s="3"/>
      <c r="K25" s="3"/>
    </row>
    <row r="26" spans="1:11">
      <c r="A26" s="2"/>
      <c r="B26" s="2"/>
      <c r="C26" s="2"/>
      <c r="D26" s="2"/>
      <c r="E26" s="2"/>
      <c r="F26" s="3"/>
      <c r="G26" s="3"/>
      <c r="H26" s="3"/>
      <c r="I26" s="3"/>
      <c r="J26" s="3"/>
      <c r="K26" s="3"/>
    </row>
    <row r="27" spans="1:11">
      <c r="A27" s="2"/>
      <c r="B27" s="2"/>
      <c r="C27" s="2"/>
      <c r="D27" s="2"/>
      <c r="E27" s="2"/>
      <c r="F27" s="3"/>
      <c r="G27" s="3"/>
      <c r="H27" s="3"/>
      <c r="I27" s="3"/>
      <c r="J27" s="3"/>
      <c r="K27" s="3"/>
    </row>
    <row r="28" spans="1:11">
      <c r="A28" s="2"/>
      <c r="B28" s="2"/>
      <c r="C28" s="2"/>
      <c r="D28" s="2"/>
      <c r="E28" s="2"/>
      <c r="F28" s="3"/>
      <c r="G28" s="3"/>
      <c r="H28" s="3"/>
      <c r="I28" s="3"/>
      <c r="J28" s="3"/>
      <c r="K28" s="3"/>
    </row>
    <row r="29" spans="1:11">
      <c r="A29" s="2"/>
      <c r="B29" s="2"/>
      <c r="C29" s="2"/>
      <c r="D29" s="2"/>
      <c r="E29" s="2"/>
      <c r="F29" s="3"/>
      <c r="G29" s="3"/>
      <c r="H29" s="3"/>
      <c r="I29" s="3"/>
      <c r="J29" s="3"/>
      <c r="K29" s="3"/>
    </row>
    <row r="30" spans="1:11">
      <c r="A30" s="2"/>
      <c r="B30" s="2"/>
      <c r="C30" s="2"/>
      <c r="D30" s="2"/>
      <c r="E30" s="2"/>
      <c r="F30" s="3"/>
      <c r="G30" s="3"/>
      <c r="H30" s="3"/>
      <c r="I30" s="3"/>
      <c r="J30" s="3"/>
      <c r="K30" s="3"/>
    </row>
    <row r="31" spans="1:11">
      <c r="A31" s="2"/>
      <c r="B31" s="2"/>
      <c r="C31" s="2"/>
      <c r="D31" s="2"/>
      <c r="E31" s="2"/>
      <c r="F31" s="3"/>
      <c r="G31" s="3"/>
      <c r="H31" s="3"/>
      <c r="I31" s="3"/>
      <c r="J31" s="3"/>
      <c r="K31" s="3"/>
    </row>
    <row r="32" spans="1:11">
      <c r="A32" s="2"/>
      <c r="B32" s="2"/>
      <c r="C32" s="2"/>
      <c r="D32" s="2"/>
      <c r="E32" s="2"/>
      <c r="F32" s="3"/>
      <c r="G32" s="3"/>
      <c r="H32" s="3"/>
      <c r="I32" s="3"/>
      <c r="J32" s="3"/>
      <c r="K32" s="3"/>
    </row>
    <row r="33" spans="1:11">
      <c r="A33" s="2"/>
      <c r="B33" s="2"/>
      <c r="C33" s="2"/>
      <c r="D33" s="2"/>
      <c r="E33" s="2"/>
      <c r="F33" s="3"/>
      <c r="G33" s="3"/>
      <c r="H33" s="3"/>
      <c r="I33" s="3"/>
      <c r="J33" s="3"/>
      <c r="K33" s="3"/>
    </row>
    <row r="34" spans="1:11">
      <c r="A34" s="2"/>
      <c r="B34" s="2"/>
      <c r="C34" s="2"/>
      <c r="D34" s="2"/>
      <c r="E34" s="2"/>
      <c r="F34" s="3"/>
      <c r="G34" s="3"/>
      <c r="H34" s="3"/>
      <c r="I34" s="3"/>
      <c r="J34" s="3"/>
      <c r="K34" s="3"/>
    </row>
    <row r="35" spans="1:11">
      <c r="A35" s="2"/>
      <c r="B35" s="2"/>
      <c r="C35" s="2"/>
      <c r="D35" s="2"/>
      <c r="E35" s="2"/>
      <c r="F35" s="3"/>
      <c r="G35" s="3"/>
      <c r="H35" s="3"/>
      <c r="I35" s="3"/>
      <c r="J35" s="3"/>
      <c r="K35" s="3"/>
    </row>
    <row r="36" spans="1:11">
      <c r="A36" s="2"/>
      <c r="B36" s="2"/>
      <c r="C36" s="2"/>
      <c r="D36" s="2"/>
      <c r="E36" s="2"/>
      <c r="F36" s="3"/>
      <c r="G36" s="3"/>
      <c r="H36" s="3"/>
      <c r="I36" s="3"/>
      <c r="J36" s="3"/>
      <c r="K36" s="3"/>
    </row>
    <row r="37" spans="1:11">
      <c r="A37" s="2"/>
      <c r="B37" s="2"/>
      <c r="C37" s="2"/>
      <c r="D37" s="2"/>
      <c r="E37" s="2"/>
      <c r="F37" s="3"/>
      <c r="G37" s="3"/>
      <c r="H37" s="3"/>
      <c r="I37" s="3"/>
      <c r="J37" s="3"/>
      <c r="K37" s="3"/>
    </row>
    <row r="38" spans="1:11">
      <c r="A38" s="2"/>
      <c r="B38" s="2"/>
      <c r="C38" s="2"/>
      <c r="D38" s="2"/>
      <c r="E38" s="2"/>
      <c r="F38" s="3"/>
      <c r="G38" s="3"/>
      <c r="H38" s="3"/>
      <c r="I38" s="3"/>
      <c r="J38" s="3"/>
      <c r="K38" s="3"/>
    </row>
    <row r="39" spans="1:11">
      <c r="A39" s="2"/>
      <c r="B39" s="2"/>
      <c r="C39" s="2"/>
      <c r="D39" s="2"/>
      <c r="E39" s="2"/>
      <c r="F39" s="3"/>
      <c r="G39" s="3"/>
      <c r="H39" s="3"/>
      <c r="I39" s="3"/>
      <c r="J39" s="3"/>
      <c r="K39" s="3"/>
    </row>
    <row r="40" spans="1:11">
      <c r="A40" s="2"/>
      <c r="B40" s="2"/>
      <c r="C40" s="2"/>
      <c r="D40" s="2"/>
      <c r="E40" s="2"/>
      <c r="F40" s="3"/>
      <c r="G40" s="3"/>
      <c r="H40" s="3"/>
      <c r="I40" s="3"/>
      <c r="J40" s="3"/>
      <c r="K40" s="3"/>
    </row>
    <row r="41" spans="1:11">
      <c r="A41" s="2"/>
      <c r="B41" s="2"/>
      <c r="C41" s="2"/>
      <c r="D41" s="2"/>
      <c r="E41" s="2"/>
      <c r="F41" s="3"/>
      <c r="G41" s="3"/>
      <c r="H41" s="3"/>
      <c r="I41" s="3"/>
      <c r="J41" s="3"/>
      <c r="K41" s="3"/>
    </row>
    <row r="42" spans="1:11">
      <c r="A42" s="2"/>
      <c r="B42" s="2"/>
      <c r="C42" s="2"/>
      <c r="D42" s="2"/>
      <c r="E42" s="2"/>
      <c r="F42" s="3"/>
      <c r="G42" s="3"/>
      <c r="H42" s="3"/>
      <c r="I42" s="3"/>
      <c r="J42" s="3"/>
      <c r="K42" s="3"/>
    </row>
    <row r="43" spans="1:11">
      <c r="A43" s="2"/>
      <c r="B43" s="2"/>
      <c r="C43" s="2"/>
      <c r="D43" s="2"/>
      <c r="E43" s="2"/>
      <c r="F43" s="3"/>
      <c r="G43" s="3"/>
      <c r="H43" s="3"/>
      <c r="I43" s="3"/>
      <c r="J43" s="3"/>
      <c r="K43" s="3"/>
    </row>
    <row r="44" spans="1:11">
      <c r="A44" s="2"/>
      <c r="B44" s="2"/>
      <c r="C44" s="2"/>
      <c r="D44" s="2"/>
      <c r="E44" s="2"/>
      <c r="F44" s="3"/>
      <c r="G44" s="3"/>
      <c r="H44" s="3"/>
      <c r="I44" s="3"/>
      <c r="J44" s="3"/>
      <c r="K44" s="3"/>
    </row>
    <row r="45" spans="1:11">
      <c r="A45" s="2"/>
      <c r="B45" s="2"/>
      <c r="C45" s="2"/>
      <c r="D45" s="2"/>
      <c r="E45" s="2"/>
      <c r="F45" s="3"/>
      <c r="G45" s="3"/>
      <c r="H45" s="3"/>
      <c r="I45" s="3"/>
      <c r="J45" s="3"/>
      <c r="K45" s="3"/>
    </row>
    <row r="46" spans="1:11">
      <c r="A46" s="2"/>
      <c r="B46" s="2"/>
      <c r="C46" s="2"/>
      <c r="D46" s="2"/>
      <c r="E46" s="2"/>
      <c r="F46" s="3"/>
      <c r="G46" s="3"/>
      <c r="H46" s="3"/>
      <c r="I46" s="3"/>
      <c r="J46" s="3"/>
      <c r="K46" s="3"/>
    </row>
    <row r="47" spans="1:11">
      <c r="A47" s="2"/>
      <c r="B47" s="2"/>
      <c r="C47" s="2"/>
      <c r="D47" s="2"/>
      <c r="E47" s="2"/>
      <c r="F47" s="3"/>
      <c r="G47" s="3"/>
      <c r="H47" s="3"/>
      <c r="I47" s="3"/>
      <c r="J47" s="3"/>
      <c r="K47" s="3"/>
    </row>
    <row r="48" spans="1:11">
      <c r="A48" s="2"/>
      <c r="B48" s="2"/>
      <c r="C48" s="2"/>
      <c r="D48" s="2"/>
      <c r="E48" s="2"/>
      <c r="F48" s="3"/>
      <c r="G48" s="3"/>
      <c r="H48" s="3"/>
      <c r="I48" s="3"/>
      <c r="J48" s="3"/>
      <c r="K48" s="3"/>
    </row>
    <row r="49" spans="1:11">
      <c r="A49" s="2"/>
      <c r="B49" s="2"/>
      <c r="C49" s="2"/>
      <c r="D49" s="2"/>
      <c r="E49" s="2"/>
      <c r="F49" s="3"/>
      <c r="G49" s="3"/>
      <c r="H49" s="3"/>
      <c r="I49" s="3"/>
      <c r="J49" s="3"/>
      <c r="K49" s="3"/>
    </row>
    <row r="50" spans="1:11">
      <c r="A50" s="2"/>
      <c r="B50" s="2"/>
      <c r="C50" s="2"/>
      <c r="D50" s="2"/>
      <c r="E50" s="2"/>
      <c r="F50" s="3"/>
      <c r="G50" s="3"/>
      <c r="H50" s="3"/>
      <c r="I50" s="3"/>
      <c r="J50" s="3"/>
      <c r="K50" s="3"/>
    </row>
    <row r="51" spans="1:11">
      <c r="A51" s="2"/>
      <c r="B51" s="2"/>
      <c r="C51" s="2"/>
      <c r="D51" s="2"/>
      <c r="E51" s="2"/>
      <c r="F51" s="3"/>
      <c r="G51" s="3"/>
      <c r="H51" s="3"/>
      <c r="I51" s="3"/>
      <c r="J51" s="3"/>
      <c r="K51" s="3"/>
    </row>
    <row r="52" spans="1:11">
      <c r="A52" s="2"/>
      <c r="B52" s="2"/>
      <c r="C52" s="2"/>
      <c r="D52" s="2"/>
      <c r="E52" s="2"/>
      <c r="F52" s="3"/>
      <c r="G52" s="3"/>
      <c r="H52" s="3"/>
      <c r="I52" s="3"/>
      <c r="J52" s="3"/>
      <c r="K52" s="3"/>
    </row>
    <row r="53" spans="1:11">
      <c r="A53" s="2"/>
      <c r="B53" s="2"/>
      <c r="C53" s="2"/>
      <c r="D53" s="2"/>
      <c r="E53" s="2"/>
      <c r="F53" s="3"/>
      <c r="G53" s="3"/>
      <c r="H53" s="3"/>
      <c r="I53" s="3"/>
      <c r="J53" s="3"/>
      <c r="K53" s="3"/>
    </row>
    <row r="54" spans="1:11">
      <c r="A54" s="2"/>
      <c r="B54" s="2"/>
      <c r="C54" s="2"/>
      <c r="D54" s="2"/>
      <c r="E54" s="2"/>
      <c r="F54" s="3"/>
      <c r="G54" s="3"/>
      <c r="H54" s="3"/>
      <c r="I54" s="3"/>
      <c r="J54" s="3"/>
      <c r="K54" s="3"/>
    </row>
    <row r="55" spans="1:11">
      <c r="A55" s="2"/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77">
    <tabColor theme="1"/>
  </sheetPr>
  <dimension ref="A1:K55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4" sqref="C4:E13"/>
    </sheetView>
  </sheetViews>
  <sheetFormatPr defaultColWidth="11.453125" defaultRowHeight="12.5" outlineLevelCol="1"/>
  <cols>
    <col min="3" max="5" width="11.453125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101240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>
        <v>101241</v>
      </c>
      <c r="B3" s="5"/>
      <c r="C3" s="8" t="s">
        <v>2</v>
      </c>
      <c r="D3" s="2" t="s">
        <v>2</v>
      </c>
      <c r="E3" s="2" t="s">
        <v>2</v>
      </c>
      <c r="F3" s="6" t="s">
        <v>158</v>
      </c>
      <c r="G3" s="3" t="s">
        <v>159</v>
      </c>
      <c r="H3" s="3" t="s">
        <v>159</v>
      </c>
      <c r="I3" s="7" t="s">
        <v>160</v>
      </c>
      <c r="J3" s="7" t="s">
        <v>161</v>
      </c>
      <c r="K3" s="7" t="s">
        <v>162</v>
      </c>
    </row>
    <row r="4" spans="1:11">
      <c r="A4" s="2">
        <v>101242</v>
      </c>
      <c r="B4" s="2">
        <v>1</v>
      </c>
      <c r="C4" s="2">
        <v>7</v>
      </c>
      <c r="D4" s="2">
        <f>VLOOKUP($C4,DEFINES!$A$2:$C$10,2,)</f>
        <v>1</v>
      </c>
      <c r="E4" s="2">
        <f>VLOOKUP($C4,DEFINES!$A$2:$C$10,3,)</f>
        <v>1</v>
      </c>
      <c r="F4" s="3" t="s">
        <v>138</v>
      </c>
      <c r="G4" s="3" t="s">
        <v>80</v>
      </c>
      <c r="H4" s="3" t="s">
        <v>80</v>
      </c>
      <c r="I4" s="6" t="s">
        <v>40</v>
      </c>
      <c r="J4" s="6" t="s">
        <v>41</v>
      </c>
      <c r="K4" s="6" t="s">
        <v>42</v>
      </c>
    </row>
    <row r="5" spans="1:11">
      <c r="A5" s="2">
        <v>101243</v>
      </c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3" t="s">
        <v>138</v>
      </c>
      <c r="G5" s="3" t="s">
        <v>80</v>
      </c>
      <c r="H5" s="3" t="s">
        <v>80</v>
      </c>
      <c r="I5" s="6" t="s">
        <v>40</v>
      </c>
      <c r="J5" s="6" t="s">
        <v>41</v>
      </c>
      <c r="K5" s="6" t="s">
        <v>42</v>
      </c>
    </row>
    <row r="6" spans="1:11">
      <c r="A6" s="2">
        <v>101244</v>
      </c>
      <c r="B6" s="2">
        <v>3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3" t="s">
        <v>138</v>
      </c>
      <c r="G6" s="3" t="s">
        <v>80</v>
      </c>
      <c r="H6" s="3" t="s">
        <v>80</v>
      </c>
      <c r="I6" s="6" t="s">
        <v>40</v>
      </c>
      <c r="J6" s="6" t="s">
        <v>41</v>
      </c>
      <c r="K6" s="6" t="s">
        <v>42</v>
      </c>
    </row>
    <row r="7" spans="1:11">
      <c r="A7" s="2">
        <v>101245</v>
      </c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3" t="s">
        <v>138</v>
      </c>
      <c r="G7" s="3" t="s">
        <v>80</v>
      </c>
      <c r="H7" s="3" t="s">
        <v>80</v>
      </c>
      <c r="I7" s="6" t="s">
        <v>40</v>
      </c>
      <c r="J7" s="6" t="s">
        <v>41</v>
      </c>
      <c r="K7" s="6" t="s">
        <v>42</v>
      </c>
    </row>
    <row r="8" spans="1:11">
      <c r="A8" s="2">
        <v>101246</v>
      </c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3" t="s">
        <v>138</v>
      </c>
      <c r="G8" s="3" t="s">
        <v>80</v>
      </c>
      <c r="H8" s="3" t="s">
        <v>80</v>
      </c>
      <c r="I8" s="6" t="s">
        <v>40</v>
      </c>
      <c r="J8" s="6" t="s">
        <v>41</v>
      </c>
      <c r="K8" s="6" t="s">
        <v>42</v>
      </c>
    </row>
    <row r="9" spans="1:11">
      <c r="A9" s="2">
        <v>101247</v>
      </c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3" t="s">
        <v>138</v>
      </c>
      <c r="G9" s="3" t="s">
        <v>80</v>
      </c>
      <c r="H9" s="3" t="s">
        <v>80</v>
      </c>
      <c r="I9" s="6" t="s">
        <v>40</v>
      </c>
      <c r="J9" s="6" t="s">
        <v>41</v>
      </c>
      <c r="K9" s="6" t="s">
        <v>42</v>
      </c>
    </row>
    <row r="10" spans="1:11">
      <c r="A10" s="2">
        <v>101248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138</v>
      </c>
      <c r="G10" s="3" t="s">
        <v>80</v>
      </c>
      <c r="H10" s="3" t="s">
        <v>80</v>
      </c>
      <c r="I10" s="6" t="s">
        <v>40</v>
      </c>
      <c r="J10" s="6" t="s">
        <v>41</v>
      </c>
      <c r="K10" s="6" t="s">
        <v>42</v>
      </c>
    </row>
    <row r="11" spans="1:11">
      <c r="A11" s="2">
        <v>101249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3" t="s">
        <v>138</v>
      </c>
      <c r="G11" s="3" t="s">
        <v>80</v>
      </c>
      <c r="H11" s="3" t="s">
        <v>80</v>
      </c>
      <c r="I11" s="6" t="s">
        <v>40</v>
      </c>
      <c r="J11" s="6" t="s">
        <v>41</v>
      </c>
      <c r="K11" s="6" t="s">
        <v>42</v>
      </c>
    </row>
    <row r="12" spans="1:11">
      <c r="A12" s="2"/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138</v>
      </c>
      <c r="G12" s="3" t="s">
        <v>80</v>
      </c>
      <c r="H12" s="3" t="s">
        <v>80</v>
      </c>
      <c r="I12" s="6" t="s">
        <v>40</v>
      </c>
      <c r="J12" s="6" t="s">
        <v>41</v>
      </c>
      <c r="K12" s="6" t="s">
        <v>42</v>
      </c>
    </row>
    <row r="13" spans="1:11">
      <c r="A13" s="2"/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138</v>
      </c>
      <c r="G13" s="3" t="s">
        <v>80</v>
      </c>
      <c r="H13" s="3" t="s">
        <v>80</v>
      </c>
      <c r="I13" s="6" t="s">
        <v>40</v>
      </c>
      <c r="J13" s="6" t="s">
        <v>41</v>
      </c>
      <c r="K13" s="6" t="s">
        <v>42</v>
      </c>
    </row>
    <row r="14" spans="1:11">
      <c r="A14" s="2"/>
      <c r="B14" s="10"/>
      <c r="C14" s="10"/>
      <c r="D14" s="10"/>
      <c r="E14" s="10"/>
      <c r="F14" s="12"/>
      <c r="G14" s="12"/>
      <c r="H14" s="12"/>
      <c r="I14" s="12"/>
      <c r="J14" s="12"/>
      <c r="K14" s="12"/>
    </row>
    <row r="15" spans="1:11">
      <c r="A15" s="10"/>
      <c r="B15" s="2"/>
      <c r="C15" s="2"/>
      <c r="D15" s="2"/>
      <c r="E15" s="2"/>
      <c r="F15" s="3"/>
      <c r="G15" s="3"/>
      <c r="H15" s="3"/>
      <c r="I15" s="3"/>
      <c r="J15" s="3"/>
      <c r="K15" s="3"/>
    </row>
    <row r="16" spans="1:11">
      <c r="A16" s="2"/>
      <c r="B16" s="2"/>
      <c r="C16" s="2"/>
      <c r="D16" s="2"/>
      <c r="E16" s="2"/>
      <c r="F16" s="3"/>
      <c r="G16" s="3"/>
      <c r="H16" s="3"/>
      <c r="I16" s="3"/>
      <c r="J16" s="3"/>
      <c r="K16" s="3"/>
    </row>
    <row r="17" spans="1:11">
      <c r="A17" s="2"/>
      <c r="B17" s="2"/>
      <c r="C17" s="2"/>
      <c r="D17" s="2"/>
      <c r="E17" s="2"/>
      <c r="F17" s="3"/>
      <c r="G17" s="3"/>
      <c r="H17" s="3"/>
      <c r="I17" s="3"/>
      <c r="J17" s="3"/>
      <c r="K17" s="3"/>
    </row>
    <row r="18" spans="1:11">
      <c r="A18" s="2"/>
      <c r="B18" s="2"/>
      <c r="C18" s="2"/>
      <c r="D18" s="2"/>
      <c r="E18" s="2"/>
      <c r="F18" s="3"/>
      <c r="G18" s="3"/>
      <c r="H18" s="3"/>
      <c r="I18" s="3"/>
      <c r="J18" s="3"/>
      <c r="K18" s="3"/>
    </row>
    <row r="19" spans="1:11">
      <c r="A19" s="2"/>
      <c r="B19" s="2"/>
      <c r="C19" s="2"/>
      <c r="D19" s="2"/>
      <c r="E19" s="2"/>
      <c r="F19" s="3"/>
      <c r="G19" s="3"/>
      <c r="H19" s="3"/>
      <c r="I19" s="3"/>
      <c r="J19" s="3"/>
      <c r="K19" s="3"/>
    </row>
    <row r="20" spans="1:11">
      <c r="A20" s="2"/>
      <c r="B20" s="2"/>
      <c r="C20" s="2"/>
      <c r="D20" s="2"/>
      <c r="E20" s="2"/>
      <c r="F20" s="3"/>
      <c r="G20" s="3"/>
      <c r="H20" s="3"/>
      <c r="I20" s="3"/>
      <c r="J20" s="3"/>
      <c r="K20" s="3"/>
    </row>
    <row r="21" spans="1:11">
      <c r="A21" s="2"/>
      <c r="B21" s="2"/>
      <c r="C21" s="2"/>
      <c r="D21" s="2"/>
      <c r="E21" s="2"/>
      <c r="F21" s="3"/>
      <c r="G21" s="3"/>
      <c r="H21" s="3"/>
      <c r="I21" s="3"/>
      <c r="J21" s="3"/>
      <c r="K21" s="3"/>
    </row>
    <row r="22" spans="1:11">
      <c r="A22" s="2"/>
      <c r="B22" s="2"/>
      <c r="C22" s="2"/>
      <c r="D22" s="2"/>
      <c r="E22" s="2"/>
      <c r="F22" s="3"/>
      <c r="G22" s="3"/>
      <c r="H22" s="3"/>
      <c r="I22" s="3"/>
      <c r="J22" s="3"/>
      <c r="K22" s="3"/>
    </row>
    <row r="23" spans="1:11">
      <c r="A23" s="2"/>
      <c r="B23" s="2"/>
      <c r="C23" s="2"/>
      <c r="D23" s="2"/>
      <c r="E23" s="2"/>
      <c r="F23" s="3"/>
      <c r="G23" s="3"/>
      <c r="H23" s="3"/>
      <c r="I23" s="3"/>
      <c r="J23" s="3"/>
      <c r="K23" s="3"/>
    </row>
    <row r="24" spans="1:11">
      <c r="A24" s="2"/>
      <c r="B24" s="2"/>
      <c r="C24" s="2"/>
      <c r="D24" s="2"/>
      <c r="E24" s="2"/>
      <c r="F24" s="3"/>
      <c r="G24" s="3"/>
      <c r="H24" s="3"/>
      <c r="I24" s="3"/>
      <c r="J24" s="3"/>
      <c r="K24" s="3"/>
    </row>
    <row r="25" spans="1:11">
      <c r="A25" s="2"/>
      <c r="B25" s="2"/>
      <c r="C25" s="2"/>
      <c r="D25" s="2"/>
      <c r="E25" s="2"/>
      <c r="F25" s="3"/>
      <c r="G25" s="3"/>
      <c r="H25" s="3"/>
      <c r="I25" s="3"/>
      <c r="J25" s="3"/>
      <c r="K25" s="3"/>
    </row>
    <row r="26" spans="1:11">
      <c r="A26" s="2"/>
      <c r="B26" s="2"/>
      <c r="C26" s="2"/>
      <c r="D26" s="2"/>
      <c r="E26" s="2"/>
      <c r="F26" s="3"/>
      <c r="G26" s="3"/>
      <c r="H26" s="3"/>
      <c r="I26" s="3"/>
      <c r="J26" s="3"/>
      <c r="K26" s="3"/>
    </row>
    <row r="27" spans="1:11">
      <c r="A27" s="2"/>
      <c r="B27" s="2"/>
      <c r="C27" s="2"/>
      <c r="D27" s="2"/>
      <c r="E27" s="2"/>
      <c r="F27" s="3"/>
      <c r="G27" s="3"/>
      <c r="H27" s="3"/>
      <c r="I27" s="3"/>
      <c r="J27" s="3"/>
      <c r="K27" s="3"/>
    </row>
    <row r="28" spans="1:11">
      <c r="A28" s="2"/>
      <c r="B28" s="2"/>
      <c r="C28" s="2"/>
      <c r="D28" s="2"/>
      <c r="E28" s="2"/>
      <c r="F28" s="3"/>
      <c r="G28" s="3"/>
      <c r="H28" s="3"/>
      <c r="I28" s="3"/>
      <c r="J28" s="3"/>
      <c r="K28" s="3"/>
    </row>
    <row r="29" spans="1:11">
      <c r="A29" s="2"/>
      <c r="B29" s="2"/>
      <c r="C29" s="2"/>
      <c r="D29" s="2"/>
      <c r="E29" s="2"/>
      <c r="F29" s="3"/>
      <c r="G29" s="3"/>
      <c r="H29" s="3"/>
      <c r="I29" s="3"/>
      <c r="J29" s="3"/>
      <c r="K29" s="3"/>
    </row>
    <row r="30" spans="1:11">
      <c r="A30" s="2"/>
      <c r="B30" s="2"/>
      <c r="C30" s="2"/>
      <c r="D30" s="2"/>
      <c r="E30" s="2"/>
      <c r="F30" s="3"/>
      <c r="G30" s="3"/>
      <c r="H30" s="3"/>
      <c r="I30" s="3"/>
      <c r="J30" s="3"/>
      <c r="K30" s="3"/>
    </row>
    <row r="31" spans="1:11">
      <c r="A31" s="2"/>
      <c r="B31" s="2"/>
      <c r="C31" s="2"/>
      <c r="D31" s="2"/>
      <c r="E31" s="2"/>
      <c r="F31" s="3"/>
      <c r="G31" s="3"/>
      <c r="H31" s="3"/>
      <c r="I31" s="3"/>
      <c r="J31" s="3"/>
      <c r="K31" s="3"/>
    </row>
    <row r="32" spans="1:11">
      <c r="A32" s="2"/>
      <c r="B32" s="2"/>
      <c r="C32" s="2"/>
      <c r="D32" s="2"/>
      <c r="E32" s="2"/>
      <c r="F32" s="3"/>
      <c r="G32" s="3"/>
      <c r="H32" s="3"/>
      <c r="I32" s="3"/>
      <c r="J32" s="3"/>
      <c r="K32" s="3"/>
    </row>
    <row r="33" spans="1:11">
      <c r="A33" s="2"/>
      <c r="B33" s="2"/>
      <c r="C33" s="2"/>
      <c r="D33" s="2"/>
      <c r="E33" s="2"/>
      <c r="F33" s="3"/>
      <c r="G33" s="3"/>
      <c r="H33" s="3"/>
      <c r="I33" s="3"/>
      <c r="J33" s="3"/>
      <c r="K33" s="3"/>
    </row>
    <row r="34" spans="1:11">
      <c r="A34" s="2"/>
      <c r="B34" s="2"/>
      <c r="C34" s="2"/>
      <c r="D34" s="2"/>
      <c r="E34" s="2"/>
      <c r="F34" s="3"/>
      <c r="G34" s="3"/>
      <c r="H34" s="3"/>
      <c r="I34" s="3"/>
      <c r="J34" s="3"/>
      <c r="K34" s="3"/>
    </row>
    <row r="35" spans="1:11">
      <c r="A35" s="2"/>
      <c r="B35" s="2"/>
      <c r="C35" s="2"/>
      <c r="D35" s="2"/>
      <c r="E35" s="2"/>
      <c r="F35" s="3"/>
      <c r="G35" s="3"/>
      <c r="H35" s="3"/>
      <c r="I35" s="3"/>
      <c r="J35" s="3"/>
      <c r="K35" s="3"/>
    </row>
    <row r="36" spans="1:11">
      <c r="A36" s="2"/>
      <c r="B36" s="2"/>
      <c r="C36" s="2"/>
      <c r="D36" s="2"/>
      <c r="E36" s="2"/>
      <c r="F36" s="3"/>
      <c r="G36" s="3"/>
      <c r="H36" s="3"/>
      <c r="I36" s="3"/>
      <c r="J36" s="3"/>
      <c r="K36" s="3"/>
    </row>
    <row r="37" spans="1:11">
      <c r="A37" s="2"/>
      <c r="B37" s="2"/>
      <c r="C37" s="2"/>
      <c r="D37" s="2"/>
      <c r="E37" s="2"/>
      <c r="F37" s="3"/>
      <c r="G37" s="3"/>
      <c r="H37" s="3"/>
      <c r="I37" s="3"/>
      <c r="J37" s="3"/>
      <c r="K37" s="3"/>
    </row>
    <row r="38" spans="1:11">
      <c r="A38" s="2"/>
      <c r="B38" s="2"/>
      <c r="C38" s="2"/>
      <c r="D38" s="2"/>
      <c r="E38" s="2"/>
      <c r="F38" s="3"/>
      <c r="G38" s="3"/>
      <c r="H38" s="3"/>
      <c r="I38" s="3"/>
      <c r="J38" s="3"/>
      <c r="K38" s="3"/>
    </row>
    <row r="39" spans="1:11">
      <c r="A39" s="2"/>
      <c r="B39" s="2"/>
      <c r="C39" s="2"/>
      <c r="D39" s="2"/>
      <c r="E39" s="2"/>
      <c r="F39" s="3"/>
      <c r="G39" s="3"/>
      <c r="H39" s="3"/>
      <c r="I39" s="3"/>
      <c r="J39" s="3"/>
      <c r="K39" s="3"/>
    </row>
    <row r="40" spans="1:11">
      <c r="A40" s="2"/>
      <c r="B40" s="2"/>
      <c r="C40" s="2"/>
      <c r="D40" s="2"/>
      <c r="E40" s="2"/>
      <c r="F40" s="3"/>
      <c r="G40" s="3"/>
      <c r="H40" s="3"/>
      <c r="I40" s="3"/>
      <c r="J40" s="3"/>
      <c r="K40" s="3"/>
    </row>
    <row r="41" spans="1:11">
      <c r="A41" s="2"/>
      <c r="B41" s="2"/>
      <c r="C41" s="2"/>
      <c r="D41" s="2"/>
      <c r="E41" s="2"/>
      <c r="F41" s="3"/>
      <c r="G41" s="3"/>
      <c r="H41" s="3"/>
      <c r="I41" s="3"/>
      <c r="J41" s="3"/>
      <c r="K41" s="3"/>
    </row>
    <row r="42" spans="1:11">
      <c r="A42" s="2"/>
      <c r="B42" s="2"/>
      <c r="C42" s="2"/>
      <c r="D42" s="2"/>
      <c r="E42" s="2"/>
      <c r="F42" s="3"/>
      <c r="G42" s="3"/>
      <c r="H42" s="3"/>
      <c r="I42" s="3"/>
      <c r="J42" s="3"/>
      <c r="K42" s="3"/>
    </row>
    <row r="43" spans="1:11">
      <c r="A43" s="2"/>
      <c r="B43" s="2"/>
      <c r="C43" s="2"/>
      <c r="D43" s="2"/>
      <c r="E43" s="2"/>
      <c r="F43" s="3"/>
      <c r="G43" s="3"/>
      <c r="H43" s="3"/>
      <c r="I43" s="3"/>
      <c r="J43" s="3"/>
      <c r="K43" s="3"/>
    </row>
    <row r="44" spans="1:11">
      <c r="A44" s="2"/>
      <c r="B44" s="2"/>
      <c r="C44" s="2"/>
      <c r="D44" s="2"/>
      <c r="E44" s="2"/>
      <c r="F44" s="3"/>
      <c r="G44" s="3"/>
      <c r="H44" s="3"/>
      <c r="I44" s="3"/>
      <c r="J44" s="3"/>
      <c r="K44" s="3"/>
    </row>
    <row r="45" spans="1:11">
      <c r="A45" s="2"/>
      <c r="B45" s="2"/>
      <c r="C45" s="2"/>
      <c r="D45" s="2"/>
      <c r="E45" s="2"/>
      <c r="F45" s="3"/>
      <c r="G45" s="3"/>
      <c r="H45" s="3"/>
      <c r="I45" s="3"/>
      <c r="J45" s="3"/>
      <c r="K45" s="3"/>
    </row>
    <row r="46" spans="1:11">
      <c r="A46" s="2"/>
      <c r="B46" s="2"/>
      <c r="C46" s="2"/>
      <c r="D46" s="2"/>
      <c r="E46" s="2"/>
      <c r="F46" s="3"/>
      <c r="G46" s="3"/>
      <c r="H46" s="3"/>
      <c r="I46" s="3"/>
      <c r="J46" s="3"/>
      <c r="K46" s="3"/>
    </row>
    <row r="47" spans="1:11">
      <c r="A47" s="2"/>
      <c r="B47" s="2"/>
      <c r="C47" s="2"/>
      <c r="D47" s="2"/>
      <c r="E47" s="2"/>
      <c r="F47" s="3"/>
      <c r="G47" s="3"/>
      <c r="H47" s="3"/>
      <c r="I47" s="3"/>
      <c r="J47" s="3"/>
      <c r="K47" s="3"/>
    </row>
    <row r="48" spans="1:11">
      <c r="A48" s="2"/>
      <c r="B48" s="2"/>
      <c r="C48" s="2"/>
      <c r="D48" s="2"/>
      <c r="E48" s="2"/>
      <c r="F48" s="3"/>
      <c r="G48" s="3"/>
      <c r="H48" s="3"/>
      <c r="I48" s="3"/>
      <c r="J48" s="3"/>
      <c r="K48" s="3"/>
    </row>
    <row r="49" spans="1:11">
      <c r="A49" s="2"/>
      <c r="B49" s="2"/>
      <c r="C49" s="2"/>
      <c r="D49" s="2"/>
      <c r="E49" s="2"/>
      <c r="F49" s="3"/>
      <c r="G49" s="3"/>
      <c r="H49" s="3"/>
      <c r="I49" s="3"/>
      <c r="J49" s="3"/>
      <c r="K49" s="3"/>
    </row>
    <row r="50" spans="1:11">
      <c r="A50" s="2"/>
      <c r="B50" s="2"/>
      <c r="C50" s="2"/>
      <c r="D50" s="2"/>
      <c r="E50" s="2"/>
      <c r="F50" s="3"/>
      <c r="G50" s="3"/>
      <c r="H50" s="3"/>
      <c r="I50" s="3"/>
      <c r="J50" s="3"/>
      <c r="K50" s="3"/>
    </row>
    <row r="51" spans="1:11">
      <c r="A51" s="2"/>
      <c r="B51" s="2"/>
      <c r="C51" s="2"/>
      <c r="D51" s="2"/>
      <c r="E51" s="2"/>
      <c r="F51" s="3"/>
      <c r="G51" s="3"/>
      <c r="H51" s="3"/>
      <c r="I51" s="3"/>
      <c r="J51" s="3"/>
      <c r="K51" s="3"/>
    </row>
    <row r="52" spans="1:11">
      <c r="A52" s="2"/>
      <c r="B52" s="2"/>
      <c r="C52" s="2"/>
      <c r="D52" s="2"/>
      <c r="E52" s="2"/>
      <c r="F52" s="3"/>
      <c r="G52" s="3"/>
      <c r="H52" s="3"/>
      <c r="I52" s="3"/>
      <c r="J52" s="3"/>
      <c r="K52" s="3"/>
    </row>
    <row r="53" spans="1:11">
      <c r="A53" s="2"/>
      <c r="B53" s="2"/>
      <c r="C53" s="2"/>
      <c r="D53" s="2"/>
      <c r="E53" s="2"/>
      <c r="F53" s="3"/>
      <c r="G53" s="3"/>
      <c r="H53" s="3"/>
      <c r="I53" s="3"/>
      <c r="J53" s="3"/>
      <c r="K53" s="3"/>
    </row>
    <row r="54" spans="1:11">
      <c r="A54" s="2"/>
      <c r="B54" s="2"/>
      <c r="C54" s="2"/>
      <c r="D54" s="2"/>
      <c r="E54" s="2"/>
      <c r="F54" s="3"/>
      <c r="G54" s="3"/>
      <c r="H54" s="3"/>
      <c r="I54" s="3"/>
      <c r="J54" s="3"/>
      <c r="K54" s="3"/>
    </row>
    <row r="55" spans="1:11">
      <c r="A55" s="2"/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39">
    <tabColor theme="1"/>
  </sheetPr>
  <dimension ref="A1:K201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F4" sqref="F4"/>
    </sheetView>
  </sheetViews>
  <sheetFormatPr defaultColWidth="11.453125" defaultRowHeight="12.5" outlineLevelCol="1"/>
  <cols>
    <col min="3" max="5" width="11.453125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102000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>
        <v>102001</v>
      </c>
      <c r="B3" s="5"/>
      <c r="C3" s="8" t="s">
        <v>2</v>
      </c>
      <c r="D3" s="2" t="s">
        <v>2</v>
      </c>
      <c r="E3" s="2" t="s">
        <v>2</v>
      </c>
      <c r="F3" s="6" t="s">
        <v>436</v>
      </c>
      <c r="G3" s="6" t="s">
        <v>413</v>
      </c>
      <c r="H3" s="6" t="s">
        <v>413</v>
      </c>
      <c r="I3" s="7" t="s">
        <v>414</v>
      </c>
      <c r="J3" s="7" t="s">
        <v>415</v>
      </c>
      <c r="K3" s="7" t="s">
        <v>416</v>
      </c>
    </row>
    <row r="4" spans="1:11">
      <c r="A4" s="2">
        <v>102002</v>
      </c>
      <c r="B4" s="2">
        <v>1</v>
      </c>
      <c r="C4" s="2">
        <v>7</v>
      </c>
      <c r="D4" s="2">
        <f>VLOOKUP($C4,DEFINES!$A$2:$C$10,2,)</f>
        <v>1</v>
      </c>
      <c r="E4" s="2">
        <f>VLOOKUP($C4,DEFINES!$A$2:$C$10,3,)</f>
        <v>1</v>
      </c>
      <c r="F4" s="6" t="s">
        <v>404</v>
      </c>
      <c r="G4" s="3" t="s">
        <v>435</v>
      </c>
      <c r="H4" s="6" t="s">
        <v>433</v>
      </c>
      <c r="I4" s="6" t="s">
        <v>40</v>
      </c>
      <c r="J4" s="6" t="s">
        <v>41</v>
      </c>
      <c r="K4" s="6" t="s">
        <v>42</v>
      </c>
    </row>
    <row r="5" spans="1:11">
      <c r="A5" s="2">
        <v>102003</v>
      </c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3" t="s">
        <v>405</v>
      </c>
      <c r="G5" s="6" t="s">
        <v>409</v>
      </c>
      <c r="H5" s="6" t="s">
        <v>409</v>
      </c>
      <c r="I5" s="6" t="s">
        <v>40</v>
      </c>
      <c r="J5" s="6" t="s">
        <v>41</v>
      </c>
      <c r="K5" s="6" t="s">
        <v>42</v>
      </c>
    </row>
    <row r="6" spans="1:11">
      <c r="A6" s="2">
        <v>102004</v>
      </c>
      <c r="B6" s="2">
        <v>3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3" t="s">
        <v>406</v>
      </c>
      <c r="G6" s="6" t="s">
        <v>407</v>
      </c>
      <c r="H6" s="6" t="s">
        <v>407</v>
      </c>
      <c r="I6" s="6" t="s">
        <v>40</v>
      </c>
      <c r="J6" s="6" t="s">
        <v>41</v>
      </c>
      <c r="K6" s="6" t="s">
        <v>42</v>
      </c>
    </row>
    <row r="7" spans="1:11">
      <c r="A7" s="2">
        <v>102005</v>
      </c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6" t="s">
        <v>43</v>
      </c>
      <c r="G7" s="6" t="s">
        <v>243</v>
      </c>
      <c r="H7" s="6" t="s">
        <v>243</v>
      </c>
      <c r="I7" s="6" t="s">
        <v>40</v>
      </c>
      <c r="J7" s="6" t="s">
        <v>41</v>
      </c>
      <c r="K7" s="6" t="s">
        <v>42</v>
      </c>
    </row>
    <row r="8" spans="1:11">
      <c r="A8" s="2">
        <v>102006</v>
      </c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6" t="s">
        <v>44</v>
      </c>
      <c r="G8" s="6" t="s">
        <v>242</v>
      </c>
      <c r="H8" s="6" t="s">
        <v>242</v>
      </c>
      <c r="I8" s="6" t="s">
        <v>40</v>
      </c>
      <c r="J8" s="6" t="s">
        <v>41</v>
      </c>
      <c r="K8" s="6" t="s">
        <v>42</v>
      </c>
    </row>
    <row r="9" spans="1:11">
      <c r="A9" s="2">
        <v>102007</v>
      </c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6" t="s">
        <v>408</v>
      </c>
      <c r="G9" s="6" t="s">
        <v>434</v>
      </c>
      <c r="H9" s="6" t="s">
        <v>434</v>
      </c>
      <c r="I9" s="6" t="s">
        <v>40</v>
      </c>
      <c r="J9" s="6" t="s">
        <v>41</v>
      </c>
      <c r="K9" s="6" t="s">
        <v>42</v>
      </c>
    </row>
    <row r="10" spans="1:11">
      <c r="A10" s="2">
        <v>102008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6" t="s">
        <v>39</v>
      </c>
      <c r="G10" s="6" t="s">
        <v>39</v>
      </c>
      <c r="H10" s="6" t="s">
        <v>39</v>
      </c>
      <c r="I10" s="6" t="s">
        <v>40</v>
      </c>
      <c r="J10" s="6" t="s">
        <v>41</v>
      </c>
      <c r="K10" s="6" t="s">
        <v>42</v>
      </c>
    </row>
    <row r="11" spans="1:11">
      <c r="A11" s="2">
        <v>102009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6" t="s">
        <v>39</v>
      </c>
      <c r="G11" s="6" t="s">
        <v>39</v>
      </c>
      <c r="H11" s="6" t="s">
        <v>39</v>
      </c>
      <c r="I11" s="6" t="s">
        <v>40</v>
      </c>
      <c r="J11" s="6" t="s">
        <v>41</v>
      </c>
      <c r="K11" s="6" t="s">
        <v>42</v>
      </c>
    </row>
    <row r="12" spans="1:11">
      <c r="A12" s="2">
        <v>102010</v>
      </c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6" t="s">
        <v>39</v>
      </c>
      <c r="G12" s="6" t="s">
        <v>39</v>
      </c>
      <c r="H12" s="6" t="s">
        <v>39</v>
      </c>
      <c r="I12" s="6" t="s">
        <v>40</v>
      </c>
      <c r="J12" s="6" t="s">
        <v>41</v>
      </c>
      <c r="K12" s="6" t="s">
        <v>42</v>
      </c>
    </row>
    <row r="13" spans="1:11">
      <c r="A13" s="2">
        <v>102011</v>
      </c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6" t="s">
        <v>417</v>
      </c>
      <c r="G13" s="6" t="s">
        <v>410</v>
      </c>
      <c r="H13" s="6" t="s">
        <v>410</v>
      </c>
      <c r="I13" s="6" t="s">
        <v>40</v>
      </c>
      <c r="J13" s="6" t="s">
        <v>41</v>
      </c>
      <c r="K13" s="6" t="s">
        <v>42</v>
      </c>
    </row>
    <row r="14" spans="1:11">
      <c r="A14" s="2">
        <v>102012</v>
      </c>
      <c r="B14" s="10"/>
      <c r="C14" s="10"/>
      <c r="D14" s="10"/>
      <c r="E14" s="10"/>
      <c r="F14" s="11"/>
      <c r="G14" s="11"/>
      <c r="H14" s="11"/>
      <c r="I14" s="11"/>
      <c r="J14" s="11"/>
      <c r="K14" s="11"/>
    </row>
    <row r="15" spans="1:11">
      <c r="A15" s="10">
        <v>102013</v>
      </c>
      <c r="B15" s="2"/>
      <c r="C15" s="2"/>
      <c r="D15" s="2"/>
      <c r="E15" s="2"/>
      <c r="F15" s="6"/>
      <c r="G15" s="6"/>
      <c r="H15" s="6"/>
      <c r="I15" s="6"/>
      <c r="J15" s="6"/>
      <c r="K15" s="6"/>
    </row>
    <row r="16" spans="1:11">
      <c r="A16" s="2">
        <v>102014</v>
      </c>
      <c r="B16" s="2"/>
      <c r="C16" s="2"/>
      <c r="D16" s="2"/>
      <c r="E16" s="2"/>
      <c r="F16" s="6"/>
      <c r="G16" s="6"/>
      <c r="H16" s="6"/>
      <c r="I16" s="6"/>
      <c r="J16" s="6"/>
      <c r="K16" s="6"/>
    </row>
    <row r="17" spans="1:11">
      <c r="A17" s="2">
        <v>102015</v>
      </c>
      <c r="B17" s="2"/>
      <c r="C17" s="2"/>
      <c r="D17" s="2"/>
      <c r="E17" s="2"/>
      <c r="F17" s="6"/>
      <c r="G17" s="6"/>
      <c r="H17" s="6"/>
      <c r="I17" s="6"/>
      <c r="J17" s="6"/>
      <c r="K17" s="6"/>
    </row>
    <row r="18" spans="1:11">
      <c r="A18" s="2">
        <v>102016</v>
      </c>
      <c r="B18" s="2"/>
      <c r="C18" s="2"/>
      <c r="D18" s="2"/>
      <c r="E18" s="2"/>
      <c r="F18" s="6"/>
      <c r="G18" s="6"/>
      <c r="H18" s="6"/>
      <c r="I18" s="6"/>
      <c r="J18" s="6"/>
      <c r="K18" s="6"/>
    </row>
    <row r="19" spans="1:11">
      <c r="A19" s="2">
        <v>102017</v>
      </c>
      <c r="B19" s="2"/>
      <c r="C19" s="2"/>
      <c r="D19" s="2"/>
      <c r="E19" s="2"/>
      <c r="F19" s="6"/>
      <c r="G19" s="6"/>
      <c r="H19" s="6"/>
      <c r="I19" s="6"/>
      <c r="J19" s="6"/>
      <c r="K19" s="6"/>
    </row>
    <row r="20" spans="1:11">
      <c r="A20" s="2">
        <v>102018</v>
      </c>
      <c r="B20" s="2"/>
      <c r="C20" s="2"/>
      <c r="D20" s="2"/>
      <c r="E20" s="2"/>
      <c r="F20" s="6"/>
      <c r="G20" s="6"/>
      <c r="H20" s="6"/>
      <c r="I20" s="6"/>
      <c r="J20" s="6"/>
      <c r="K20" s="6"/>
    </row>
    <row r="21" spans="1:11">
      <c r="A21" s="2">
        <v>102019</v>
      </c>
      <c r="B21" s="2"/>
      <c r="C21" s="2"/>
      <c r="D21" s="2"/>
      <c r="E21" s="2"/>
      <c r="F21" s="6"/>
      <c r="G21" s="6"/>
      <c r="H21" s="6"/>
      <c r="I21" s="6"/>
      <c r="J21" s="6"/>
      <c r="K21" s="6"/>
    </row>
    <row r="22" spans="1:11">
      <c r="A22" s="2">
        <v>102020</v>
      </c>
      <c r="B22" s="2"/>
      <c r="C22" s="2"/>
      <c r="D22" s="2"/>
      <c r="E22" s="2"/>
      <c r="F22" s="6"/>
      <c r="G22" s="6"/>
      <c r="H22" s="6"/>
      <c r="I22" s="6"/>
      <c r="J22" s="6"/>
      <c r="K22" s="6"/>
    </row>
    <row r="23" spans="1:11">
      <c r="A23" s="2">
        <v>102021</v>
      </c>
      <c r="B23" s="2"/>
      <c r="C23" s="2"/>
      <c r="D23" s="2"/>
      <c r="E23" s="2"/>
      <c r="F23" s="6"/>
      <c r="G23" s="6"/>
      <c r="H23" s="6"/>
      <c r="I23" s="6"/>
      <c r="J23" s="6"/>
      <c r="K23" s="6"/>
    </row>
    <row r="24" spans="1:11">
      <c r="A24" s="2">
        <v>102022</v>
      </c>
      <c r="B24" s="2"/>
      <c r="C24" s="2"/>
      <c r="D24" s="2"/>
      <c r="E24" s="2"/>
      <c r="F24" s="6"/>
      <c r="G24" s="6"/>
      <c r="H24" s="6"/>
      <c r="I24" s="6"/>
      <c r="J24" s="6"/>
      <c r="K24" s="6"/>
    </row>
    <row r="25" spans="1:11">
      <c r="A25" s="2">
        <v>102023</v>
      </c>
      <c r="B25" s="2"/>
      <c r="C25" s="2"/>
      <c r="D25" s="2"/>
      <c r="E25" s="2"/>
      <c r="F25" s="6"/>
      <c r="G25" s="6"/>
      <c r="H25" s="6"/>
      <c r="I25" s="6"/>
      <c r="J25" s="6"/>
      <c r="K25" s="6"/>
    </row>
    <row r="26" spans="1:11">
      <c r="A26" s="2">
        <v>102024</v>
      </c>
      <c r="B26" s="2"/>
      <c r="C26" s="2"/>
      <c r="D26" s="2"/>
      <c r="E26" s="2"/>
      <c r="F26" s="6"/>
      <c r="G26" s="6"/>
      <c r="H26" s="6"/>
      <c r="I26" s="6"/>
      <c r="J26" s="6"/>
      <c r="K26" s="6"/>
    </row>
    <row r="27" spans="1:11">
      <c r="A27" s="2">
        <v>102025</v>
      </c>
      <c r="B27" s="2"/>
      <c r="C27" s="2"/>
      <c r="D27" s="2"/>
      <c r="E27" s="2"/>
      <c r="F27" s="6"/>
      <c r="G27" s="6"/>
      <c r="H27" s="6"/>
      <c r="I27" s="6"/>
      <c r="J27" s="6"/>
      <c r="K27" s="6"/>
    </row>
    <row r="28" spans="1:11">
      <c r="A28" s="2">
        <v>102026</v>
      </c>
      <c r="B28" s="2"/>
      <c r="C28" s="2"/>
      <c r="D28" s="2"/>
      <c r="E28" s="2"/>
      <c r="F28" s="6"/>
      <c r="G28" s="6"/>
      <c r="H28" s="6"/>
      <c r="I28" s="6"/>
      <c r="J28" s="6"/>
      <c r="K28" s="6"/>
    </row>
    <row r="29" spans="1:11">
      <c r="A29" s="2">
        <v>102027</v>
      </c>
      <c r="B29" s="2"/>
      <c r="C29" s="2"/>
      <c r="D29" s="2"/>
      <c r="E29" s="2"/>
      <c r="F29" s="6"/>
      <c r="G29" s="6"/>
      <c r="H29" s="6"/>
      <c r="I29" s="6"/>
      <c r="J29" s="6"/>
      <c r="K29" s="6"/>
    </row>
    <row r="30" spans="1:11">
      <c r="A30" s="2">
        <v>102028</v>
      </c>
      <c r="B30" s="2"/>
      <c r="C30" s="2"/>
      <c r="D30" s="2"/>
      <c r="E30" s="2"/>
      <c r="F30" s="6"/>
      <c r="G30" s="6"/>
      <c r="H30" s="6"/>
      <c r="I30" s="6"/>
      <c r="J30" s="6"/>
      <c r="K30" s="6"/>
    </row>
    <row r="31" spans="1:11">
      <c r="A31" s="2">
        <v>102029</v>
      </c>
      <c r="B31" s="2"/>
      <c r="C31" s="2"/>
      <c r="D31" s="2"/>
      <c r="E31" s="2"/>
      <c r="F31" s="6"/>
      <c r="G31" s="6"/>
      <c r="H31" s="6"/>
      <c r="I31" s="6"/>
      <c r="J31" s="6"/>
      <c r="K31" s="6"/>
    </row>
    <row r="32" spans="1:11">
      <c r="A32" s="2">
        <v>102030</v>
      </c>
      <c r="B32" s="2"/>
      <c r="C32" s="2"/>
      <c r="D32" s="2"/>
      <c r="E32" s="2"/>
      <c r="F32" s="6"/>
      <c r="G32" s="6"/>
      <c r="H32" s="6"/>
      <c r="I32" s="6"/>
      <c r="J32" s="6"/>
      <c r="K32" s="6"/>
    </row>
    <row r="33" spans="1:11">
      <c r="A33" s="2">
        <v>102031</v>
      </c>
      <c r="B33" s="2"/>
      <c r="C33" s="2"/>
      <c r="D33" s="2"/>
      <c r="E33" s="2"/>
      <c r="F33" s="6"/>
      <c r="G33" s="6"/>
      <c r="H33" s="6"/>
      <c r="I33" s="6"/>
      <c r="J33" s="6"/>
      <c r="K33" s="6"/>
    </row>
    <row r="34" spans="1:11">
      <c r="A34" s="2">
        <v>102032</v>
      </c>
      <c r="B34" s="2"/>
      <c r="C34" s="2"/>
      <c r="D34" s="2"/>
      <c r="E34" s="2"/>
      <c r="F34" s="6"/>
      <c r="G34" s="6"/>
      <c r="H34" s="6"/>
      <c r="I34" s="6"/>
      <c r="J34" s="6"/>
      <c r="K34" s="6"/>
    </row>
    <row r="35" spans="1:11">
      <c r="A35" s="2">
        <v>102033</v>
      </c>
      <c r="B35" s="2"/>
      <c r="C35" s="2"/>
      <c r="D35" s="2"/>
      <c r="E35" s="2"/>
      <c r="F35" s="6"/>
      <c r="G35" s="6"/>
      <c r="H35" s="6"/>
      <c r="I35" s="6"/>
      <c r="J35" s="6"/>
      <c r="K35" s="6"/>
    </row>
    <row r="36" spans="1:11">
      <c r="A36" s="2">
        <v>102034</v>
      </c>
      <c r="B36" s="2"/>
      <c r="C36" s="2"/>
      <c r="D36" s="2"/>
      <c r="E36" s="2"/>
      <c r="F36" s="6"/>
      <c r="G36" s="6"/>
      <c r="H36" s="6"/>
      <c r="I36" s="6"/>
      <c r="J36" s="6"/>
      <c r="K36" s="6"/>
    </row>
    <row r="37" spans="1:11">
      <c r="A37" s="2">
        <v>102035</v>
      </c>
      <c r="B37" s="2"/>
      <c r="C37" s="2"/>
      <c r="D37" s="2"/>
      <c r="E37" s="2"/>
      <c r="F37" s="6"/>
      <c r="G37" s="6"/>
      <c r="H37" s="6"/>
      <c r="I37" s="6"/>
      <c r="J37" s="6"/>
      <c r="K37" s="6"/>
    </row>
    <row r="38" spans="1:11">
      <c r="A38" s="2">
        <v>102036</v>
      </c>
      <c r="B38" s="2"/>
      <c r="C38" s="2"/>
      <c r="D38" s="2"/>
      <c r="E38" s="2"/>
      <c r="F38" s="6"/>
      <c r="G38" s="6"/>
      <c r="H38" s="6"/>
      <c r="I38" s="6"/>
      <c r="J38" s="6"/>
      <c r="K38" s="6"/>
    </row>
    <row r="39" spans="1:11">
      <c r="A39" s="2">
        <v>102037</v>
      </c>
      <c r="B39" s="2"/>
      <c r="C39" s="2"/>
      <c r="D39" s="2"/>
      <c r="E39" s="2"/>
      <c r="F39" s="6"/>
      <c r="G39" s="6"/>
      <c r="H39" s="6"/>
      <c r="I39" s="6"/>
      <c r="J39" s="6"/>
      <c r="K39" s="6"/>
    </row>
    <row r="40" spans="1:11">
      <c r="A40" s="2">
        <v>102038</v>
      </c>
      <c r="B40" s="2"/>
      <c r="C40" s="2"/>
      <c r="D40" s="2"/>
      <c r="E40" s="2"/>
      <c r="F40" s="6"/>
      <c r="G40" s="6"/>
      <c r="H40" s="6"/>
      <c r="I40" s="6"/>
      <c r="J40" s="6"/>
      <c r="K40" s="6"/>
    </row>
    <row r="41" spans="1:11">
      <c r="A41" s="2">
        <v>102039</v>
      </c>
      <c r="B41" s="2"/>
      <c r="C41" s="2"/>
      <c r="D41" s="2"/>
      <c r="E41" s="2"/>
      <c r="F41" s="6"/>
      <c r="G41" s="6"/>
      <c r="H41" s="6"/>
      <c r="I41" s="6"/>
      <c r="J41" s="6"/>
      <c r="K41" s="6"/>
    </row>
    <row r="42" spans="1:11">
      <c r="A42" s="2">
        <v>102040</v>
      </c>
      <c r="B42" s="2"/>
      <c r="C42" s="2"/>
      <c r="D42" s="2"/>
      <c r="E42" s="2"/>
      <c r="F42" s="6"/>
      <c r="G42" s="6"/>
      <c r="H42" s="6"/>
      <c r="I42" s="6"/>
      <c r="J42" s="6"/>
      <c r="K42" s="6"/>
    </row>
    <row r="43" spans="1:11">
      <c r="A43" s="2">
        <v>102041</v>
      </c>
      <c r="B43" s="2"/>
      <c r="C43" s="2"/>
      <c r="D43" s="2"/>
      <c r="E43" s="2"/>
      <c r="F43" s="6"/>
      <c r="G43" s="6"/>
      <c r="H43" s="6"/>
      <c r="I43" s="6"/>
      <c r="J43" s="6"/>
      <c r="K43" s="6"/>
    </row>
    <row r="44" spans="1:11">
      <c r="A44" s="2">
        <v>102042</v>
      </c>
      <c r="B44" s="2"/>
      <c r="C44" s="2"/>
      <c r="D44" s="2"/>
      <c r="E44" s="2"/>
      <c r="F44" s="6"/>
      <c r="G44" s="6"/>
      <c r="H44" s="6"/>
      <c r="I44" s="6"/>
      <c r="J44" s="6"/>
      <c r="K44" s="6"/>
    </row>
    <row r="45" spans="1:11">
      <c r="A45" s="2">
        <v>102043</v>
      </c>
      <c r="B45" s="2"/>
      <c r="C45" s="2"/>
      <c r="D45" s="2"/>
      <c r="E45" s="2"/>
      <c r="F45" s="6"/>
      <c r="G45" s="6"/>
      <c r="H45" s="6"/>
      <c r="I45" s="6"/>
      <c r="J45" s="6"/>
      <c r="K45" s="6"/>
    </row>
    <row r="46" spans="1:11">
      <c r="A46" s="2">
        <v>102044</v>
      </c>
      <c r="B46" s="2"/>
      <c r="C46" s="2"/>
      <c r="D46" s="2"/>
      <c r="E46" s="2"/>
      <c r="F46" s="6"/>
      <c r="G46" s="6"/>
      <c r="H46" s="6"/>
      <c r="I46" s="6"/>
      <c r="J46" s="6"/>
      <c r="K46" s="6"/>
    </row>
    <row r="47" spans="1:11">
      <c r="A47" s="2">
        <v>102045</v>
      </c>
      <c r="B47" s="2"/>
      <c r="C47" s="2"/>
      <c r="D47" s="2"/>
      <c r="E47" s="2"/>
      <c r="F47" s="6"/>
      <c r="G47" s="6"/>
      <c r="H47" s="6"/>
      <c r="I47" s="6"/>
      <c r="J47" s="6"/>
      <c r="K47" s="6"/>
    </row>
    <row r="48" spans="1:11">
      <c r="A48" s="2">
        <v>102046</v>
      </c>
      <c r="B48" s="2"/>
      <c r="C48" s="2"/>
      <c r="D48" s="2"/>
      <c r="E48" s="2"/>
      <c r="F48" s="6"/>
      <c r="G48" s="6"/>
      <c r="H48" s="6"/>
      <c r="I48" s="6"/>
      <c r="J48" s="6"/>
      <c r="K48" s="6"/>
    </row>
    <row r="49" spans="1:11">
      <c r="A49" s="2">
        <v>102047</v>
      </c>
      <c r="B49" s="2"/>
      <c r="C49" s="2"/>
      <c r="D49" s="2"/>
      <c r="E49" s="2"/>
      <c r="F49" s="6"/>
      <c r="G49" s="6"/>
      <c r="H49" s="6"/>
      <c r="I49" s="6"/>
      <c r="J49" s="6"/>
      <c r="K49" s="6"/>
    </row>
    <row r="50" spans="1:11">
      <c r="A50" s="2">
        <v>102048</v>
      </c>
      <c r="B50" s="2"/>
      <c r="C50" s="2"/>
      <c r="D50" s="2"/>
      <c r="E50" s="2"/>
      <c r="F50" s="6"/>
      <c r="G50" s="6"/>
      <c r="H50" s="6"/>
      <c r="I50" s="6"/>
      <c r="J50" s="6"/>
      <c r="K50" s="6"/>
    </row>
    <row r="51" spans="1:11">
      <c r="A51" s="2">
        <v>102049</v>
      </c>
      <c r="B51" s="2"/>
      <c r="C51" s="2"/>
      <c r="D51" s="2"/>
      <c r="E51" s="2"/>
      <c r="F51" s="6"/>
      <c r="G51" s="6"/>
      <c r="H51" s="6"/>
      <c r="I51" s="6"/>
      <c r="J51" s="6"/>
      <c r="K51" s="6"/>
    </row>
    <row r="52" spans="1:11">
      <c r="A52" s="2">
        <v>102050</v>
      </c>
      <c r="B52" s="2"/>
      <c r="C52" s="2"/>
      <c r="D52" s="2"/>
      <c r="E52" s="2"/>
      <c r="F52" s="6"/>
      <c r="G52" s="6"/>
      <c r="H52" s="6"/>
      <c r="I52" s="6"/>
      <c r="J52" s="6"/>
      <c r="K52" s="6"/>
    </row>
    <row r="53" spans="1:11">
      <c r="A53" s="2">
        <v>102051</v>
      </c>
      <c r="B53" s="2"/>
      <c r="C53" s="2"/>
      <c r="D53" s="2"/>
      <c r="E53" s="2"/>
      <c r="F53" s="3"/>
      <c r="G53" s="3"/>
      <c r="H53" s="3"/>
      <c r="I53" s="3"/>
      <c r="J53" s="3"/>
      <c r="K53" s="3"/>
    </row>
    <row r="54" spans="1:11">
      <c r="A54" s="2">
        <v>102052</v>
      </c>
      <c r="B54" s="2"/>
      <c r="C54" s="2"/>
      <c r="D54" s="2"/>
      <c r="E54" s="2"/>
      <c r="F54" s="3"/>
      <c r="G54" s="3"/>
      <c r="H54" s="3"/>
      <c r="I54" s="3"/>
      <c r="J54" s="3"/>
      <c r="K54" s="3"/>
    </row>
    <row r="55" spans="1:11">
      <c r="A55" s="2">
        <v>102053</v>
      </c>
    </row>
    <row r="56" spans="1:11">
      <c r="A56" s="2">
        <v>102054</v>
      </c>
    </row>
    <row r="57" spans="1:11">
      <c r="A57" s="2">
        <v>102055</v>
      </c>
    </row>
    <row r="58" spans="1:11">
      <c r="A58" s="2">
        <v>102056</v>
      </c>
    </row>
    <row r="59" spans="1:11">
      <c r="A59" s="2">
        <v>102057</v>
      </c>
    </row>
    <row r="60" spans="1:11">
      <c r="A60" s="2">
        <v>102058</v>
      </c>
    </row>
    <row r="61" spans="1:11">
      <c r="A61" s="2">
        <v>102059</v>
      </c>
    </row>
    <row r="62" spans="1:11">
      <c r="A62" s="2">
        <v>102060</v>
      </c>
    </row>
    <row r="63" spans="1:11">
      <c r="A63" s="2">
        <v>102061</v>
      </c>
    </row>
    <row r="64" spans="1:11">
      <c r="A64" s="2">
        <v>102062</v>
      </c>
    </row>
    <row r="65" spans="1:1">
      <c r="A65" s="2">
        <v>102063</v>
      </c>
    </row>
    <row r="66" spans="1:1">
      <c r="A66" s="2">
        <v>102064</v>
      </c>
    </row>
    <row r="67" spans="1:1">
      <c r="A67" s="2">
        <v>102065</v>
      </c>
    </row>
    <row r="68" spans="1:1">
      <c r="A68" s="2">
        <v>102066</v>
      </c>
    </row>
    <row r="69" spans="1:1">
      <c r="A69" s="2">
        <v>102067</v>
      </c>
    </row>
    <row r="70" spans="1:1">
      <c r="A70" s="2">
        <v>102068</v>
      </c>
    </row>
    <row r="71" spans="1:1">
      <c r="A71" s="2">
        <v>102069</v>
      </c>
    </row>
    <row r="72" spans="1:1">
      <c r="A72" s="2">
        <v>102070</v>
      </c>
    </row>
    <row r="73" spans="1:1">
      <c r="A73" s="2">
        <v>102071</v>
      </c>
    </row>
    <row r="74" spans="1:1">
      <c r="A74" s="2">
        <v>102072</v>
      </c>
    </row>
    <row r="75" spans="1:1">
      <c r="A75" s="2">
        <v>102073</v>
      </c>
    </row>
    <row r="76" spans="1:1">
      <c r="A76" s="2">
        <v>102074</v>
      </c>
    </row>
    <row r="77" spans="1:1">
      <c r="A77" s="2">
        <v>102075</v>
      </c>
    </row>
    <row r="78" spans="1:1">
      <c r="A78" s="2">
        <v>102076</v>
      </c>
    </row>
    <row r="79" spans="1:1">
      <c r="A79" s="2">
        <v>102077</v>
      </c>
    </row>
    <row r="80" spans="1:1">
      <c r="A80" s="2">
        <v>102078</v>
      </c>
    </row>
    <row r="81" spans="1:1">
      <c r="A81" s="2">
        <v>102079</v>
      </c>
    </row>
    <row r="82" spans="1:1">
      <c r="A82" s="2">
        <v>102080</v>
      </c>
    </row>
    <row r="83" spans="1:1">
      <c r="A83" s="2">
        <v>102081</v>
      </c>
    </row>
    <row r="84" spans="1:1">
      <c r="A84" s="2">
        <v>102082</v>
      </c>
    </row>
    <row r="85" spans="1:1">
      <c r="A85" s="2">
        <v>102083</v>
      </c>
    </row>
    <row r="86" spans="1:1">
      <c r="A86" s="2">
        <v>102084</v>
      </c>
    </row>
    <row r="87" spans="1:1">
      <c r="A87" s="2">
        <v>102085</v>
      </c>
    </row>
    <row r="88" spans="1:1">
      <c r="A88" s="2">
        <v>102086</v>
      </c>
    </row>
    <row r="89" spans="1:1">
      <c r="A89" s="2">
        <v>102087</v>
      </c>
    </row>
    <row r="90" spans="1:1">
      <c r="A90" s="2">
        <v>102088</v>
      </c>
    </row>
    <row r="91" spans="1:1">
      <c r="A91" s="2">
        <v>102089</v>
      </c>
    </row>
    <row r="92" spans="1:1">
      <c r="A92" s="2">
        <v>102090</v>
      </c>
    </row>
    <row r="93" spans="1:1">
      <c r="A93" s="2">
        <v>102091</v>
      </c>
    </row>
    <row r="94" spans="1:1">
      <c r="A94" s="2">
        <v>102092</v>
      </c>
    </row>
    <row r="95" spans="1:1">
      <c r="A95" s="2">
        <v>102093</v>
      </c>
    </row>
    <row r="96" spans="1:1">
      <c r="A96" s="2">
        <v>102094</v>
      </c>
    </row>
    <row r="97" spans="1:1">
      <c r="A97" s="2">
        <v>102095</v>
      </c>
    </row>
    <row r="98" spans="1:1">
      <c r="A98" s="2">
        <v>102096</v>
      </c>
    </row>
    <row r="99" spans="1:1">
      <c r="A99" s="2">
        <v>102097</v>
      </c>
    </row>
    <row r="100" spans="1:1">
      <c r="A100" s="2">
        <v>102098</v>
      </c>
    </row>
    <row r="101" spans="1:1">
      <c r="A101" s="2">
        <v>102099</v>
      </c>
    </row>
    <row r="102" spans="1:1">
      <c r="A102" s="2">
        <v>102100</v>
      </c>
    </row>
    <row r="103" spans="1:1">
      <c r="A103" s="2">
        <v>102101</v>
      </c>
    </row>
    <row r="104" spans="1:1">
      <c r="A104" s="2">
        <v>102102</v>
      </c>
    </row>
    <row r="105" spans="1:1">
      <c r="A105" s="2">
        <v>102103</v>
      </c>
    </row>
    <row r="106" spans="1:1">
      <c r="A106" s="2">
        <v>102104</v>
      </c>
    </row>
    <row r="107" spans="1:1">
      <c r="A107" s="2">
        <v>102105</v>
      </c>
    </row>
    <row r="108" spans="1:1">
      <c r="A108" s="2">
        <v>102106</v>
      </c>
    </row>
    <row r="109" spans="1:1">
      <c r="A109" s="2">
        <v>102107</v>
      </c>
    </row>
    <row r="110" spans="1:1">
      <c r="A110" s="2">
        <v>102108</v>
      </c>
    </row>
    <row r="111" spans="1:1">
      <c r="A111" s="2">
        <v>102109</v>
      </c>
    </row>
    <row r="112" spans="1:1">
      <c r="A112" s="2">
        <v>102110</v>
      </c>
    </row>
    <row r="113" spans="1:1">
      <c r="A113" s="2">
        <v>102111</v>
      </c>
    </row>
    <row r="114" spans="1:1">
      <c r="A114" s="2">
        <v>102112</v>
      </c>
    </row>
    <row r="115" spans="1:1">
      <c r="A115" s="2">
        <v>102113</v>
      </c>
    </row>
    <row r="116" spans="1:1">
      <c r="A116" s="2">
        <v>102114</v>
      </c>
    </row>
    <row r="117" spans="1:1">
      <c r="A117" s="2">
        <v>102115</v>
      </c>
    </row>
    <row r="118" spans="1:1">
      <c r="A118" s="2">
        <v>102116</v>
      </c>
    </row>
    <row r="119" spans="1:1">
      <c r="A119" s="2">
        <v>102117</v>
      </c>
    </row>
    <row r="120" spans="1:1">
      <c r="A120" s="2">
        <v>102118</v>
      </c>
    </row>
    <row r="121" spans="1:1">
      <c r="A121" s="2">
        <v>102119</v>
      </c>
    </row>
    <row r="122" spans="1:1">
      <c r="A122" s="2">
        <v>102120</v>
      </c>
    </row>
    <row r="123" spans="1:1">
      <c r="A123" s="2">
        <v>102121</v>
      </c>
    </row>
    <row r="124" spans="1:1">
      <c r="A124" s="2">
        <v>102122</v>
      </c>
    </row>
    <row r="125" spans="1:1">
      <c r="A125" s="2">
        <v>102123</v>
      </c>
    </row>
    <row r="126" spans="1:1">
      <c r="A126" s="2">
        <v>102124</v>
      </c>
    </row>
    <row r="127" spans="1:1">
      <c r="A127" s="2">
        <v>102125</v>
      </c>
    </row>
    <row r="128" spans="1:1">
      <c r="A128" s="2">
        <v>102126</v>
      </c>
    </row>
    <row r="129" spans="1:1">
      <c r="A129" s="2">
        <v>102127</v>
      </c>
    </row>
    <row r="130" spans="1:1">
      <c r="A130" s="2">
        <v>102128</v>
      </c>
    </row>
    <row r="131" spans="1:1">
      <c r="A131" s="2">
        <v>102129</v>
      </c>
    </row>
    <row r="132" spans="1:1">
      <c r="A132" s="2">
        <v>102130</v>
      </c>
    </row>
    <row r="133" spans="1:1">
      <c r="A133" s="2">
        <v>102131</v>
      </c>
    </row>
    <row r="134" spans="1:1">
      <c r="A134" s="2">
        <v>102132</v>
      </c>
    </row>
    <row r="135" spans="1:1">
      <c r="A135" s="2">
        <v>102133</v>
      </c>
    </row>
    <row r="136" spans="1:1">
      <c r="A136" s="2">
        <v>102134</v>
      </c>
    </row>
    <row r="137" spans="1:1">
      <c r="A137" s="2">
        <v>102135</v>
      </c>
    </row>
    <row r="138" spans="1:1">
      <c r="A138" s="2">
        <v>102136</v>
      </c>
    </row>
    <row r="139" spans="1:1">
      <c r="A139" s="2">
        <v>102137</v>
      </c>
    </row>
    <row r="140" spans="1:1">
      <c r="A140" s="2">
        <v>102138</v>
      </c>
    </row>
    <row r="141" spans="1:1">
      <c r="A141" s="2">
        <v>102139</v>
      </c>
    </row>
    <row r="142" spans="1:1">
      <c r="A142" s="2">
        <v>102140</v>
      </c>
    </row>
    <row r="143" spans="1:1">
      <c r="A143" s="2">
        <v>102141</v>
      </c>
    </row>
    <row r="144" spans="1:1">
      <c r="A144" s="2">
        <v>102142</v>
      </c>
    </row>
    <row r="145" spans="1:1">
      <c r="A145" s="2">
        <v>102143</v>
      </c>
    </row>
    <row r="146" spans="1:1">
      <c r="A146" s="2">
        <v>102144</v>
      </c>
    </row>
    <row r="147" spans="1:1">
      <c r="A147" s="2">
        <v>102145</v>
      </c>
    </row>
    <row r="148" spans="1:1">
      <c r="A148" s="2">
        <v>102146</v>
      </c>
    </row>
    <row r="149" spans="1:1">
      <c r="A149" s="2">
        <v>102147</v>
      </c>
    </row>
    <row r="150" spans="1:1">
      <c r="A150" s="2">
        <v>102148</v>
      </c>
    </row>
    <row r="151" spans="1:1">
      <c r="A151" s="2">
        <v>102149</v>
      </c>
    </row>
    <row r="152" spans="1:1">
      <c r="A152" s="2">
        <v>102150</v>
      </c>
    </row>
    <row r="153" spans="1:1">
      <c r="A153" s="2">
        <v>102151</v>
      </c>
    </row>
    <row r="154" spans="1:1">
      <c r="A154" s="2">
        <v>102152</v>
      </c>
    </row>
    <row r="155" spans="1:1">
      <c r="A155" s="2">
        <v>102153</v>
      </c>
    </row>
    <row r="156" spans="1:1">
      <c r="A156" s="2">
        <v>102154</v>
      </c>
    </row>
    <row r="157" spans="1:1">
      <c r="A157" s="2">
        <v>102155</v>
      </c>
    </row>
    <row r="158" spans="1:1">
      <c r="A158" s="2">
        <v>102156</v>
      </c>
    </row>
    <row r="159" spans="1:1">
      <c r="A159" s="2">
        <v>102157</v>
      </c>
    </row>
    <row r="160" spans="1:1">
      <c r="A160" s="2">
        <v>102158</v>
      </c>
    </row>
    <row r="161" spans="1:1">
      <c r="A161" s="2">
        <v>102159</v>
      </c>
    </row>
    <row r="162" spans="1:1">
      <c r="A162" s="2">
        <v>102160</v>
      </c>
    </row>
    <row r="163" spans="1:1">
      <c r="A163" s="2">
        <v>102161</v>
      </c>
    </row>
    <row r="164" spans="1:1">
      <c r="A164" s="2">
        <v>102162</v>
      </c>
    </row>
    <row r="165" spans="1:1">
      <c r="A165" s="2">
        <v>102163</v>
      </c>
    </row>
    <row r="166" spans="1:1">
      <c r="A166" s="2">
        <v>102164</v>
      </c>
    </row>
    <row r="167" spans="1:1">
      <c r="A167" s="2">
        <v>102165</v>
      </c>
    </row>
    <row r="168" spans="1:1">
      <c r="A168" s="2">
        <v>102166</v>
      </c>
    </row>
    <row r="169" spans="1:1">
      <c r="A169" s="2">
        <v>102167</v>
      </c>
    </row>
    <row r="170" spans="1:1">
      <c r="A170" s="2">
        <v>102168</v>
      </c>
    </row>
    <row r="171" spans="1:1">
      <c r="A171" s="2">
        <v>102169</v>
      </c>
    </row>
    <row r="172" spans="1:1">
      <c r="A172" s="2">
        <v>102170</v>
      </c>
    </row>
    <row r="173" spans="1:1">
      <c r="A173" s="2">
        <v>102171</v>
      </c>
    </row>
    <row r="174" spans="1:1">
      <c r="A174" s="2">
        <v>102172</v>
      </c>
    </row>
    <row r="175" spans="1:1">
      <c r="A175" s="2">
        <v>102173</v>
      </c>
    </row>
    <row r="176" spans="1:1">
      <c r="A176" s="2">
        <v>102174</v>
      </c>
    </row>
    <row r="177" spans="1:1">
      <c r="A177" s="2">
        <v>102175</v>
      </c>
    </row>
    <row r="178" spans="1:1">
      <c r="A178" s="2">
        <v>102176</v>
      </c>
    </row>
    <row r="179" spans="1:1">
      <c r="A179" s="2">
        <v>102177</v>
      </c>
    </row>
    <row r="180" spans="1:1">
      <c r="A180" s="2">
        <v>102178</v>
      </c>
    </row>
    <row r="181" spans="1:1">
      <c r="A181" s="2">
        <v>102179</v>
      </c>
    </row>
    <row r="182" spans="1:1">
      <c r="A182" s="2">
        <v>102180</v>
      </c>
    </row>
    <row r="183" spans="1:1">
      <c r="A183" s="2">
        <v>102181</v>
      </c>
    </row>
    <row r="184" spans="1:1">
      <c r="A184" s="2">
        <v>102182</v>
      </c>
    </row>
    <row r="185" spans="1:1">
      <c r="A185" s="2">
        <v>102183</v>
      </c>
    </row>
    <row r="186" spans="1:1">
      <c r="A186" s="2">
        <v>102184</v>
      </c>
    </row>
    <row r="187" spans="1:1">
      <c r="A187" s="2">
        <v>102185</v>
      </c>
    </row>
    <row r="188" spans="1:1">
      <c r="A188" s="2">
        <v>102186</v>
      </c>
    </row>
    <row r="189" spans="1:1">
      <c r="A189" s="2">
        <v>102187</v>
      </c>
    </row>
    <row r="190" spans="1:1">
      <c r="A190" s="2">
        <v>102188</v>
      </c>
    </row>
    <row r="191" spans="1:1">
      <c r="A191" s="2">
        <v>102189</v>
      </c>
    </row>
    <row r="192" spans="1:1">
      <c r="A192" s="2">
        <v>102190</v>
      </c>
    </row>
    <row r="193" spans="1:1">
      <c r="A193" s="2">
        <v>102191</v>
      </c>
    </row>
    <row r="194" spans="1:1">
      <c r="A194" s="2">
        <v>102192</v>
      </c>
    </row>
    <row r="195" spans="1:1">
      <c r="A195" s="2">
        <v>102193</v>
      </c>
    </row>
    <row r="196" spans="1:1">
      <c r="A196" s="2">
        <v>102194</v>
      </c>
    </row>
    <row r="197" spans="1:1">
      <c r="A197" s="2">
        <v>102195</v>
      </c>
    </row>
    <row r="198" spans="1:1">
      <c r="A198" s="2">
        <v>102196</v>
      </c>
    </row>
    <row r="199" spans="1:1">
      <c r="A199" s="2">
        <v>102197</v>
      </c>
    </row>
    <row r="200" spans="1:1">
      <c r="A200" s="2">
        <v>102198</v>
      </c>
    </row>
    <row r="201" spans="1:1">
      <c r="A201" s="2">
        <v>102199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47">
    <tabColor theme="1"/>
  </sheetPr>
  <dimension ref="A1:K101"/>
  <sheetViews>
    <sheetView workbookViewId="0">
      <pane xSplit="5" ySplit="3" topLeftCell="G4" activePane="bottomRight" state="frozen"/>
      <selection activeCell="G38" sqref="G38:G39"/>
      <selection pane="topRight" activeCell="G38" sqref="G38:G39"/>
      <selection pane="bottomLeft" activeCell="G38" sqref="G38:G39"/>
      <selection pane="bottomRight" activeCell="H9" sqref="H4:H9"/>
    </sheetView>
  </sheetViews>
  <sheetFormatPr defaultColWidth="11.453125" defaultRowHeight="12.5" outlineLevelCol="1"/>
  <cols>
    <col min="2" max="2" width="7" bestFit="1" customWidth="1"/>
    <col min="3" max="3" width="6.7265625" bestFit="1" customWidth="1" outlineLevel="1"/>
    <col min="4" max="4" width="8.453125" bestFit="1" customWidth="1" outlineLevel="1"/>
    <col min="5" max="5" width="11.453125" customWidth="1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102200</v>
      </c>
      <c r="B2" s="2" t="s">
        <v>2</v>
      </c>
      <c r="C2" s="5"/>
      <c r="D2" s="5"/>
      <c r="E2" s="5"/>
      <c r="F2" s="13">
        <v>1031</v>
      </c>
      <c r="G2" s="13">
        <v>1033</v>
      </c>
      <c r="H2" s="4">
        <v>2052</v>
      </c>
      <c r="I2" s="13">
        <v>1036</v>
      </c>
      <c r="J2" s="13">
        <v>1034</v>
      </c>
      <c r="K2" s="13">
        <v>1043</v>
      </c>
    </row>
    <row r="3" spans="1:11">
      <c r="A3" s="2">
        <v>102201</v>
      </c>
      <c r="B3" s="5"/>
      <c r="C3" s="2" t="s">
        <v>2</v>
      </c>
      <c r="D3" s="2" t="s">
        <v>2</v>
      </c>
      <c r="E3" s="2" t="s">
        <v>2</v>
      </c>
      <c r="F3" s="6" t="s">
        <v>180</v>
      </c>
      <c r="G3" s="6" t="s">
        <v>176</v>
      </c>
      <c r="H3" s="6" t="s">
        <v>176</v>
      </c>
      <c r="I3" s="7" t="s">
        <v>48</v>
      </c>
      <c r="J3" s="7" t="s">
        <v>49</v>
      </c>
      <c r="K3" s="7" t="s">
        <v>50</v>
      </c>
    </row>
    <row r="4" spans="1:11">
      <c r="A4" s="2">
        <v>102202</v>
      </c>
      <c r="B4" s="2">
        <v>1</v>
      </c>
      <c r="C4" s="2">
        <v>4</v>
      </c>
      <c r="D4" s="2">
        <f>VLOOKUP($C4,DEFINES!$A$2:$C$10,2,)</f>
        <v>3</v>
      </c>
      <c r="E4" s="2">
        <f>VLOOKUP($C4,DEFINES!$A$2:$C$10,3,)</f>
        <v>0</v>
      </c>
      <c r="F4" s="3" t="s">
        <v>246</v>
      </c>
      <c r="G4" s="3" t="s">
        <v>432</v>
      </c>
      <c r="H4" s="3" t="s">
        <v>432</v>
      </c>
      <c r="I4" s="6" t="s">
        <v>40</v>
      </c>
      <c r="J4" s="6" t="s">
        <v>41</v>
      </c>
      <c r="K4" s="6" t="s">
        <v>42</v>
      </c>
    </row>
    <row r="5" spans="1:11">
      <c r="A5" s="2">
        <v>102203</v>
      </c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3" t="s">
        <v>245</v>
      </c>
      <c r="G5" s="3" t="s">
        <v>430</v>
      </c>
      <c r="H5" s="3" t="s">
        <v>430</v>
      </c>
      <c r="I5" s="6" t="s">
        <v>40</v>
      </c>
      <c r="J5" s="6" t="s">
        <v>41</v>
      </c>
      <c r="K5" s="6" t="s">
        <v>42</v>
      </c>
    </row>
    <row r="6" spans="1:11">
      <c r="A6" s="2">
        <v>102204</v>
      </c>
      <c r="B6" s="2">
        <v>3</v>
      </c>
      <c r="C6" s="2">
        <v>6</v>
      </c>
      <c r="D6" s="2">
        <f>VLOOKUP($C6,DEFINES!$A$2:$C$10,2,)</f>
        <v>2</v>
      </c>
      <c r="E6" s="2">
        <f>VLOOKUP($C6,DEFINES!$A$2:$C$10,3,)</f>
        <v>1</v>
      </c>
      <c r="F6" s="3" t="s">
        <v>244</v>
      </c>
      <c r="G6" s="3" t="s">
        <v>431</v>
      </c>
      <c r="H6" s="3" t="s">
        <v>431</v>
      </c>
      <c r="I6" s="6" t="s">
        <v>40</v>
      </c>
      <c r="J6" s="6" t="s">
        <v>41</v>
      </c>
      <c r="K6" s="6" t="s">
        <v>42</v>
      </c>
    </row>
    <row r="7" spans="1:11">
      <c r="A7" s="2">
        <v>102205</v>
      </c>
      <c r="B7" s="2">
        <v>4</v>
      </c>
      <c r="C7" s="2">
        <v>6</v>
      </c>
      <c r="D7" s="2">
        <f>VLOOKUP($C7,DEFINES!$A$2:$C$10,2,)</f>
        <v>2</v>
      </c>
      <c r="E7" s="2">
        <f>VLOOKUP($C7,DEFINES!$A$2:$C$10,3,)</f>
        <v>1</v>
      </c>
      <c r="F7" s="3" t="s">
        <v>181</v>
      </c>
      <c r="G7" s="3" t="s">
        <v>177</v>
      </c>
      <c r="H7" s="3" t="s">
        <v>177</v>
      </c>
      <c r="I7" s="6" t="s">
        <v>40</v>
      </c>
      <c r="J7" s="6" t="s">
        <v>41</v>
      </c>
      <c r="K7" s="6" t="s">
        <v>42</v>
      </c>
    </row>
    <row r="8" spans="1:11">
      <c r="A8" s="2">
        <v>102206</v>
      </c>
      <c r="B8" s="2">
        <v>5</v>
      </c>
      <c r="C8" s="2">
        <v>4</v>
      </c>
      <c r="D8" s="2">
        <f>VLOOKUP($C8,DEFINES!$A$2:$C$10,2,)</f>
        <v>3</v>
      </c>
      <c r="E8" s="2">
        <f>VLOOKUP($C8,DEFINES!$A$2:$C$10,3,)</f>
        <v>0</v>
      </c>
      <c r="F8" s="3" t="s">
        <v>51</v>
      </c>
      <c r="G8" s="3" t="s">
        <v>178</v>
      </c>
      <c r="H8" s="3" t="s">
        <v>178</v>
      </c>
      <c r="I8" s="6" t="s">
        <v>40</v>
      </c>
      <c r="J8" s="6" t="s">
        <v>41</v>
      </c>
      <c r="K8" s="6" t="s">
        <v>42</v>
      </c>
    </row>
    <row r="9" spans="1:11">
      <c r="A9" s="2">
        <v>102207</v>
      </c>
      <c r="B9" s="2">
        <v>6</v>
      </c>
      <c r="C9" s="2">
        <v>4</v>
      </c>
      <c r="D9" s="2">
        <f>VLOOKUP($C9,DEFINES!$A$2:$C$10,2,)</f>
        <v>3</v>
      </c>
      <c r="E9" s="2">
        <f>VLOOKUP($C9,DEFINES!$A$2:$C$10,3,)</f>
        <v>0</v>
      </c>
      <c r="F9" s="3" t="s">
        <v>263</v>
      </c>
      <c r="G9" s="3" t="s">
        <v>262</v>
      </c>
      <c r="H9" s="3" t="s">
        <v>262</v>
      </c>
      <c r="I9" s="6" t="s">
        <v>40</v>
      </c>
      <c r="J9" s="6" t="s">
        <v>41</v>
      </c>
      <c r="K9" s="6" t="s">
        <v>42</v>
      </c>
    </row>
    <row r="10" spans="1:11">
      <c r="A10" s="2">
        <v>102208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179</v>
      </c>
      <c r="G10" s="3" t="s">
        <v>179</v>
      </c>
      <c r="H10" s="3" t="s">
        <v>179</v>
      </c>
      <c r="I10" s="6" t="s">
        <v>40</v>
      </c>
      <c r="J10" s="6" t="s">
        <v>41</v>
      </c>
      <c r="K10" s="6" t="s">
        <v>42</v>
      </c>
    </row>
    <row r="11" spans="1:11">
      <c r="A11" s="2">
        <v>102209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6" t="s">
        <v>43</v>
      </c>
      <c r="G11" s="6" t="s">
        <v>243</v>
      </c>
      <c r="H11" s="6" t="s">
        <v>243</v>
      </c>
      <c r="I11" s="6" t="s">
        <v>40</v>
      </c>
      <c r="J11" s="6" t="s">
        <v>41</v>
      </c>
      <c r="K11" s="6" t="s">
        <v>42</v>
      </c>
    </row>
    <row r="12" spans="1:11">
      <c r="A12" s="2">
        <v>102210</v>
      </c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6" t="s">
        <v>44</v>
      </c>
      <c r="G12" s="6" t="s">
        <v>242</v>
      </c>
      <c r="H12" s="6" t="s">
        <v>242</v>
      </c>
      <c r="I12" s="6" t="s">
        <v>40</v>
      </c>
      <c r="J12" s="6" t="s">
        <v>41</v>
      </c>
      <c r="K12" s="6" t="s">
        <v>42</v>
      </c>
    </row>
    <row r="13" spans="1:11">
      <c r="A13" s="2">
        <v>102211</v>
      </c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261</v>
      </c>
      <c r="G13" s="3" t="s">
        <v>261</v>
      </c>
      <c r="H13" s="3" t="s">
        <v>261</v>
      </c>
      <c r="I13" s="6" t="s">
        <v>40</v>
      </c>
      <c r="J13" s="6" t="s">
        <v>41</v>
      </c>
      <c r="K13" s="6" t="s">
        <v>42</v>
      </c>
    </row>
    <row r="14" spans="1:11">
      <c r="A14" s="2">
        <v>102212</v>
      </c>
      <c r="B14" s="10">
        <v>11</v>
      </c>
      <c r="C14" s="10">
        <v>7</v>
      </c>
      <c r="D14" s="2">
        <f>VLOOKUP($C14,DEFINES!$A$2:$C$10,2,)</f>
        <v>1</v>
      </c>
      <c r="E14" s="2">
        <f>VLOOKUP($C14,DEFINES!$A$2:$C$10,3,)</f>
        <v>1</v>
      </c>
      <c r="F14" s="12" t="s">
        <v>260</v>
      </c>
      <c r="G14" s="12" t="s">
        <v>259</v>
      </c>
      <c r="H14" s="12" t="s">
        <v>259</v>
      </c>
      <c r="I14" s="11" t="s">
        <v>40</v>
      </c>
      <c r="J14" s="11" t="s">
        <v>41</v>
      </c>
      <c r="K14" s="11" t="s">
        <v>42</v>
      </c>
    </row>
    <row r="15" spans="1:11">
      <c r="A15" s="10">
        <v>102213</v>
      </c>
      <c r="B15" s="2">
        <v>12</v>
      </c>
      <c r="C15" s="2">
        <v>7</v>
      </c>
      <c r="D15" s="2">
        <f>VLOOKUP($C15,DEFINES!$A$2:$C$10,2,)</f>
        <v>1</v>
      </c>
      <c r="E15" s="2">
        <f>VLOOKUP($C15,DEFINES!$A$2:$C$10,3,)</f>
        <v>1</v>
      </c>
      <c r="F15" s="3" t="s">
        <v>258</v>
      </c>
      <c r="G15" s="3" t="s">
        <v>257</v>
      </c>
      <c r="H15" s="3" t="s">
        <v>257</v>
      </c>
      <c r="I15" s="6" t="s">
        <v>40</v>
      </c>
      <c r="J15" s="6" t="s">
        <v>41</v>
      </c>
      <c r="K15" s="6" t="s">
        <v>42</v>
      </c>
    </row>
    <row r="16" spans="1:11">
      <c r="A16" s="2">
        <v>102214</v>
      </c>
      <c r="B16" s="2">
        <v>13</v>
      </c>
      <c r="C16" s="2">
        <v>7</v>
      </c>
      <c r="D16" s="2">
        <f>VLOOKUP($C16,DEFINES!$A$2:$C$10,2,)</f>
        <v>1</v>
      </c>
      <c r="E16" s="2">
        <f>VLOOKUP($C16,DEFINES!$A$2:$C$10,3,)</f>
        <v>1</v>
      </c>
      <c r="F16" s="3" t="s">
        <v>256</v>
      </c>
      <c r="G16" s="3" t="s">
        <v>255</v>
      </c>
      <c r="H16" s="3" t="s">
        <v>255</v>
      </c>
      <c r="I16" s="6" t="s">
        <v>40</v>
      </c>
      <c r="J16" s="6" t="s">
        <v>41</v>
      </c>
      <c r="K16" s="6" t="s">
        <v>42</v>
      </c>
    </row>
    <row r="17" spans="1:11">
      <c r="A17" s="2">
        <v>102215</v>
      </c>
      <c r="B17" s="2">
        <v>14</v>
      </c>
      <c r="C17" s="2">
        <v>7</v>
      </c>
      <c r="D17" s="2">
        <f>VLOOKUP($C17,DEFINES!$A$2:$C$10,2,)</f>
        <v>1</v>
      </c>
      <c r="E17" s="2">
        <f>VLOOKUP($C17,DEFINES!$A$2:$C$10,3,)</f>
        <v>1</v>
      </c>
      <c r="F17" s="3" t="s">
        <v>254</v>
      </c>
      <c r="G17" s="3" t="s">
        <v>253</v>
      </c>
      <c r="H17" s="3" t="s">
        <v>253</v>
      </c>
      <c r="I17" s="6" t="s">
        <v>40</v>
      </c>
      <c r="J17" s="6" t="s">
        <v>41</v>
      </c>
      <c r="K17" s="6" t="s">
        <v>42</v>
      </c>
    </row>
    <row r="18" spans="1:11">
      <c r="A18" s="2">
        <v>102216</v>
      </c>
      <c r="B18" s="2">
        <v>15</v>
      </c>
      <c r="C18" s="2">
        <v>7</v>
      </c>
      <c r="D18" s="2">
        <f>VLOOKUP($C18,DEFINES!$A$2:$C$10,2,)</f>
        <v>1</v>
      </c>
      <c r="E18" s="2">
        <f>VLOOKUP($C18,DEFINES!$A$2:$C$10,3,)</f>
        <v>1</v>
      </c>
      <c r="F18" s="3" t="s">
        <v>252</v>
      </c>
      <c r="G18" s="3" t="s">
        <v>251</v>
      </c>
      <c r="H18" s="3" t="s">
        <v>251</v>
      </c>
      <c r="I18" s="6" t="s">
        <v>40</v>
      </c>
      <c r="J18" s="6" t="s">
        <v>41</v>
      </c>
      <c r="K18" s="6" t="s">
        <v>42</v>
      </c>
    </row>
    <row r="19" spans="1:11">
      <c r="A19" s="2">
        <v>102217</v>
      </c>
      <c r="B19" s="2">
        <v>16</v>
      </c>
      <c r="C19" s="2">
        <v>7</v>
      </c>
      <c r="D19" s="2">
        <f>VLOOKUP($C19,DEFINES!$A$2:$C$10,2,)</f>
        <v>1</v>
      </c>
      <c r="E19" s="2">
        <f>VLOOKUP($C19,DEFINES!$A$2:$C$10,3,)</f>
        <v>1</v>
      </c>
      <c r="F19" s="3" t="s">
        <v>250</v>
      </c>
      <c r="G19" s="3" t="s">
        <v>249</v>
      </c>
      <c r="H19" s="3" t="s">
        <v>249</v>
      </c>
      <c r="I19" s="6" t="s">
        <v>40</v>
      </c>
      <c r="J19" s="6" t="s">
        <v>41</v>
      </c>
      <c r="K19" s="6" t="s">
        <v>42</v>
      </c>
    </row>
    <row r="20" spans="1:11">
      <c r="A20" s="2">
        <v>102218</v>
      </c>
      <c r="B20" s="2">
        <v>17</v>
      </c>
      <c r="C20" s="2">
        <v>7</v>
      </c>
      <c r="D20" s="2">
        <f>VLOOKUP($C20,DEFINES!$A$2:$C$10,2,)</f>
        <v>1</v>
      </c>
      <c r="E20" s="2">
        <f>VLOOKUP($C20,DEFINES!$A$2:$C$10,3,)</f>
        <v>1</v>
      </c>
      <c r="F20" s="6" t="s">
        <v>248</v>
      </c>
      <c r="G20" s="6" t="s">
        <v>247</v>
      </c>
      <c r="H20" s="6" t="s">
        <v>247</v>
      </c>
      <c r="I20" s="6" t="s">
        <v>40</v>
      </c>
      <c r="J20" s="6" t="s">
        <v>41</v>
      </c>
      <c r="K20" s="6" t="s">
        <v>42</v>
      </c>
    </row>
    <row r="21" spans="1:11">
      <c r="A21" s="2">
        <v>102219</v>
      </c>
      <c r="B21" s="2">
        <v>18</v>
      </c>
      <c r="C21" s="2">
        <v>6</v>
      </c>
      <c r="D21" s="2">
        <f>VLOOKUP($C21,DEFINES!$A$2:$C$10,2,)</f>
        <v>2</v>
      </c>
      <c r="E21" s="2">
        <f>VLOOKUP($C21,DEFINES!$A$2:$C$10,3,)</f>
        <v>1</v>
      </c>
      <c r="F21" s="6" t="s">
        <v>39</v>
      </c>
      <c r="G21" s="6" t="s">
        <v>39</v>
      </c>
      <c r="H21" s="6" t="s">
        <v>39</v>
      </c>
      <c r="I21" s="6" t="s">
        <v>40</v>
      </c>
      <c r="J21" s="6" t="s">
        <v>41</v>
      </c>
      <c r="K21" s="6" t="s">
        <v>42</v>
      </c>
    </row>
    <row r="22" spans="1:11">
      <c r="A22" s="2">
        <v>102220</v>
      </c>
      <c r="B22" s="2">
        <v>19</v>
      </c>
      <c r="C22" s="2">
        <v>6</v>
      </c>
      <c r="D22" s="2">
        <f>VLOOKUP($C22,DEFINES!$A$2:$C$10,2,)</f>
        <v>2</v>
      </c>
      <c r="E22" s="2">
        <f>VLOOKUP($C22,DEFINES!$A$2:$C$10,3,)</f>
        <v>1</v>
      </c>
      <c r="F22" s="6" t="s">
        <v>39</v>
      </c>
      <c r="G22" s="6" t="s">
        <v>39</v>
      </c>
      <c r="H22" s="6" t="s">
        <v>39</v>
      </c>
      <c r="I22" s="6" t="s">
        <v>40</v>
      </c>
      <c r="J22" s="6" t="s">
        <v>41</v>
      </c>
      <c r="K22" s="6" t="s">
        <v>42</v>
      </c>
    </row>
    <row r="23" spans="1:11">
      <c r="A23" s="2">
        <v>102221</v>
      </c>
      <c r="B23" s="2">
        <v>20</v>
      </c>
      <c r="C23" s="2">
        <v>6</v>
      </c>
      <c r="D23" s="2">
        <f>VLOOKUP($C23,DEFINES!$A$2:$C$10,2,)</f>
        <v>2</v>
      </c>
      <c r="E23" s="2">
        <f>VLOOKUP($C23,DEFINES!$A$2:$C$10,3,)</f>
        <v>1</v>
      </c>
      <c r="F23" s="6" t="s">
        <v>39</v>
      </c>
      <c r="G23" s="6" t="s">
        <v>39</v>
      </c>
      <c r="H23" s="6" t="s">
        <v>39</v>
      </c>
      <c r="I23" s="6" t="s">
        <v>40</v>
      </c>
      <c r="J23" s="6" t="s">
        <v>41</v>
      </c>
      <c r="K23" s="6" t="s">
        <v>42</v>
      </c>
    </row>
    <row r="24" spans="1:11">
      <c r="A24" s="2">
        <v>102222</v>
      </c>
      <c r="B24" s="2">
        <v>21</v>
      </c>
      <c r="C24" s="2">
        <v>6</v>
      </c>
      <c r="D24" s="2">
        <f>VLOOKUP($C24,DEFINES!$A$2:$C$10,2,)</f>
        <v>2</v>
      </c>
      <c r="E24" s="2">
        <f>VLOOKUP($C24,DEFINES!$A$2:$C$10,3,)</f>
        <v>1</v>
      </c>
      <c r="F24" s="6" t="s">
        <v>39</v>
      </c>
      <c r="G24" s="6" t="s">
        <v>39</v>
      </c>
      <c r="H24" s="6" t="s">
        <v>39</v>
      </c>
      <c r="I24" s="6" t="s">
        <v>40</v>
      </c>
      <c r="J24" s="6" t="s">
        <v>41</v>
      </c>
      <c r="K24" s="6" t="s">
        <v>42</v>
      </c>
    </row>
    <row r="25" spans="1:11">
      <c r="A25" s="2">
        <v>102223</v>
      </c>
      <c r="B25" s="2">
        <v>22</v>
      </c>
      <c r="C25" s="2">
        <v>6</v>
      </c>
      <c r="D25" s="2">
        <f>VLOOKUP($C25,DEFINES!$A$2:$C$10,2,)</f>
        <v>2</v>
      </c>
      <c r="E25" s="2">
        <f>VLOOKUP($C25,DEFINES!$A$2:$C$10,3,)</f>
        <v>1</v>
      </c>
      <c r="F25" s="6" t="s">
        <v>39</v>
      </c>
      <c r="G25" s="6" t="s">
        <v>39</v>
      </c>
      <c r="H25" s="6" t="s">
        <v>39</v>
      </c>
      <c r="I25" s="6" t="s">
        <v>40</v>
      </c>
      <c r="J25" s="6" t="s">
        <v>41</v>
      </c>
      <c r="K25" s="6" t="s">
        <v>42</v>
      </c>
    </row>
    <row r="26" spans="1:11">
      <c r="A26" s="2">
        <v>102224</v>
      </c>
      <c r="B26" s="2">
        <v>23</v>
      </c>
      <c r="C26" s="2">
        <v>6</v>
      </c>
      <c r="D26" s="2">
        <f>VLOOKUP($C26,DEFINES!$A$2:$C$10,2,)</f>
        <v>2</v>
      </c>
      <c r="E26" s="2">
        <f>VLOOKUP($C26,DEFINES!$A$2:$C$10,3,)</f>
        <v>1</v>
      </c>
      <c r="F26" s="6" t="s">
        <v>39</v>
      </c>
      <c r="G26" s="6" t="s">
        <v>39</v>
      </c>
      <c r="H26" s="6" t="s">
        <v>39</v>
      </c>
      <c r="I26" s="6" t="s">
        <v>40</v>
      </c>
      <c r="J26" s="6" t="s">
        <v>41</v>
      </c>
      <c r="K26" s="6" t="s">
        <v>42</v>
      </c>
    </row>
    <row r="27" spans="1:11">
      <c r="A27" s="2">
        <v>102225</v>
      </c>
      <c r="B27" s="2">
        <v>24</v>
      </c>
      <c r="C27" s="2">
        <v>6</v>
      </c>
      <c r="D27" s="2">
        <f>VLOOKUP($C27,DEFINES!$A$2:$C$10,2,)</f>
        <v>2</v>
      </c>
      <c r="E27" s="2">
        <f>VLOOKUP($C27,DEFINES!$A$2:$C$10,3,)</f>
        <v>1</v>
      </c>
      <c r="F27" s="6" t="s">
        <v>39</v>
      </c>
      <c r="G27" s="6" t="s">
        <v>39</v>
      </c>
      <c r="H27" s="6" t="s">
        <v>39</v>
      </c>
      <c r="I27" s="6" t="s">
        <v>40</v>
      </c>
      <c r="J27" s="6" t="s">
        <v>41</v>
      </c>
      <c r="K27" s="6" t="s">
        <v>42</v>
      </c>
    </row>
    <row r="28" spans="1:11">
      <c r="A28" s="2">
        <v>102226</v>
      </c>
      <c r="B28" s="2">
        <v>25</v>
      </c>
      <c r="C28" s="2">
        <v>6</v>
      </c>
      <c r="D28" s="2">
        <f>VLOOKUP($C28,DEFINES!$A$2:$C$10,2,)</f>
        <v>2</v>
      </c>
      <c r="E28" s="2">
        <f>VLOOKUP($C28,DEFINES!$A$2:$C$10,3,)</f>
        <v>1</v>
      </c>
      <c r="F28" s="6" t="s">
        <v>39</v>
      </c>
      <c r="G28" s="6" t="s">
        <v>39</v>
      </c>
      <c r="H28" s="6" t="s">
        <v>39</v>
      </c>
      <c r="I28" s="6" t="s">
        <v>40</v>
      </c>
      <c r="J28" s="6" t="s">
        <v>41</v>
      </c>
      <c r="K28" s="6" t="s">
        <v>42</v>
      </c>
    </row>
    <row r="29" spans="1:11">
      <c r="A29" s="2">
        <v>102227</v>
      </c>
      <c r="B29" s="2">
        <v>4096</v>
      </c>
      <c r="C29" s="2">
        <v>4</v>
      </c>
      <c r="D29" s="2">
        <f>VLOOKUP($C29,DEFINES!$A$2:$C$10,2,)</f>
        <v>3</v>
      </c>
      <c r="E29" s="2">
        <f>VLOOKUP($C29,DEFINES!$A$2:$C$10,3,)</f>
        <v>0</v>
      </c>
      <c r="F29" s="6" t="s">
        <v>357</v>
      </c>
      <c r="G29" s="6" t="s">
        <v>380</v>
      </c>
      <c r="H29" s="6" t="s">
        <v>380</v>
      </c>
      <c r="I29" s="6" t="s">
        <v>40</v>
      </c>
      <c r="J29" s="6" t="s">
        <v>41</v>
      </c>
      <c r="K29" s="6" t="s">
        <v>42</v>
      </c>
    </row>
    <row r="30" spans="1:11">
      <c r="A30" s="2">
        <v>102228</v>
      </c>
      <c r="B30" s="2">
        <v>4609</v>
      </c>
      <c r="C30" s="2">
        <v>4</v>
      </c>
      <c r="D30" s="2">
        <f>VLOOKUP($C30,DEFINES!$A$2:$C$10,2,)</f>
        <v>3</v>
      </c>
      <c r="E30" s="2">
        <f>VLOOKUP($C30,DEFINES!$A$2:$C$10,3,)</f>
        <v>0</v>
      </c>
      <c r="F30" s="6" t="s">
        <v>358</v>
      </c>
      <c r="G30" s="6" t="s">
        <v>381</v>
      </c>
      <c r="H30" s="6" t="s">
        <v>381</v>
      </c>
      <c r="I30" s="6" t="s">
        <v>40</v>
      </c>
      <c r="J30" s="6" t="s">
        <v>41</v>
      </c>
      <c r="K30" s="6" t="s">
        <v>42</v>
      </c>
    </row>
    <row r="31" spans="1:11">
      <c r="A31" s="2">
        <v>102229</v>
      </c>
      <c r="B31" s="2">
        <v>16384</v>
      </c>
      <c r="C31" s="2">
        <v>6</v>
      </c>
      <c r="D31" s="2">
        <f>VLOOKUP($C31,DEFINES!$A$2:$C$10,2,)</f>
        <v>2</v>
      </c>
      <c r="E31" s="2">
        <f>VLOOKUP($C31,DEFINES!$A$2:$C$10,3,)</f>
        <v>1</v>
      </c>
      <c r="F31" s="6" t="s">
        <v>359</v>
      </c>
      <c r="G31" s="6" t="s">
        <v>382</v>
      </c>
      <c r="H31" s="6" t="s">
        <v>382</v>
      </c>
      <c r="I31" s="6" t="s">
        <v>40</v>
      </c>
      <c r="J31" s="6" t="s">
        <v>41</v>
      </c>
      <c r="K31" s="6" t="s">
        <v>42</v>
      </c>
    </row>
    <row r="32" spans="1:11">
      <c r="A32" s="2">
        <v>102230</v>
      </c>
      <c r="B32" s="2">
        <v>16641</v>
      </c>
      <c r="C32" s="2">
        <v>6</v>
      </c>
      <c r="D32" s="2">
        <f>VLOOKUP($C32,DEFINES!$A$2:$C$10,2,)</f>
        <v>2</v>
      </c>
      <c r="E32" s="2">
        <f>VLOOKUP($C32,DEFINES!$A$2:$C$10,3,)</f>
        <v>1</v>
      </c>
      <c r="F32" s="6" t="s">
        <v>360</v>
      </c>
      <c r="G32" s="6" t="s">
        <v>383</v>
      </c>
      <c r="H32" s="6" t="s">
        <v>383</v>
      </c>
      <c r="I32" s="6" t="s">
        <v>40</v>
      </c>
      <c r="J32" s="6" t="s">
        <v>41</v>
      </c>
      <c r="K32" s="6" t="s">
        <v>42</v>
      </c>
    </row>
    <row r="33" spans="1:11">
      <c r="A33" s="2">
        <v>102231</v>
      </c>
      <c r="B33" s="2">
        <v>17153</v>
      </c>
      <c r="C33" s="2">
        <v>6</v>
      </c>
      <c r="D33" s="2">
        <f>VLOOKUP($C33,DEFINES!$A$2:$C$10,2,)</f>
        <v>2</v>
      </c>
      <c r="E33" s="2">
        <f>VLOOKUP($C33,DEFINES!$A$2:$C$10,3,)</f>
        <v>1</v>
      </c>
      <c r="F33" s="6" t="s">
        <v>361</v>
      </c>
      <c r="G33" s="6" t="s">
        <v>384</v>
      </c>
      <c r="H33" s="6" t="s">
        <v>384</v>
      </c>
      <c r="I33" s="6" t="s">
        <v>40</v>
      </c>
      <c r="J33" s="6" t="s">
        <v>41</v>
      </c>
      <c r="K33" s="6" t="s">
        <v>42</v>
      </c>
    </row>
    <row r="34" spans="1:11">
      <c r="A34" s="2">
        <v>102232</v>
      </c>
      <c r="B34" s="2">
        <v>17425</v>
      </c>
      <c r="C34" s="2">
        <v>6</v>
      </c>
      <c r="D34" s="2">
        <f>VLOOKUP($C34,DEFINES!$A$2:$C$10,2,)</f>
        <v>2</v>
      </c>
      <c r="E34" s="2">
        <f>VLOOKUP($C34,DEFINES!$A$2:$C$10,3,)</f>
        <v>1</v>
      </c>
      <c r="F34" s="6" t="s">
        <v>362</v>
      </c>
      <c r="G34" s="6" t="s">
        <v>385</v>
      </c>
      <c r="H34" s="6" t="s">
        <v>385</v>
      </c>
      <c r="I34" s="6" t="s">
        <v>40</v>
      </c>
      <c r="J34" s="6" t="s">
        <v>41</v>
      </c>
      <c r="K34" s="6" t="s">
        <v>42</v>
      </c>
    </row>
    <row r="35" spans="1:11">
      <c r="A35" s="2">
        <v>102233</v>
      </c>
      <c r="B35" s="2">
        <v>17426</v>
      </c>
      <c r="C35" s="2">
        <v>6</v>
      </c>
      <c r="D35" s="2">
        <f>VLOOKUP($C35,DEFINES!$A$2:$C$10,2,)</f>
        <v>2</v>
      </c>
      <c r="E35" s="2">
        <f>VLOOKUP($C35,DEFINES!$A$2:$C$10,3,)</f>
        <v>1</v>
      </c>
      <c r="F35" s="6" t="s">
        <v>377</v>
      </c>
      <c r="G35" s="6" t="s">
        <v>386</v>
      </c>
      <c r="H35" s="6" t="s">
        <v>386</v>
      </c>
      <c r="I35" s="6" t="s">
        <v>40</v>
      </c>
      <c r="J35" s="6" t="s">
        <v>41</v>
      </c>
      <c r="K35" s="6" t="s">
        <v>42</v>
      </c>
    </row>
    <row r="36" spans="1:11">
      <c r="A36" s="2">
        <v>102234</v>
      </c>
      <c r="B36" s="2">
        <v>17427</v>
      </c>
      <c r="C36" s="2">
        <v>6</v>
      </c>
      <c r="D36" s="2">
        <f>VLOOKUP($C36,DEFINES!$A$2:$C$10,2,)</f>
        <v>2</v>
      </c>
      <c r="E36" s="2">
        <f>VLOOKUP($C36,DEFINES!$A$2:$C$10,3,)</f>
        <v>1</v>
      </c>
      <c r="F36" s="6" t="s">
        <v>363</v>
      </c>
      <c r="G36" s="6" t="s">
        <v>387</v>
      </c>
      <c r="H36" s="6" t="s">
        <v>387</v>
      </c>
      <c r="I36" s="6" t="s">
        <v>40</v>
      </c>
      <c r="J36" s="6" t="s">
        <v>41</v>
      </c>
      <c r="K36" s="6" t="s">
        <v>42</v>
      </c>
    </row>
    <row r="37" spans="1:11">
      <c r="A37" s="2">
        <v>102235</v>
      </c>
      <c r="B37" s="2">
        <v>17428</v>
      </c>
      <c r="C37" s="2">
        <v>6</v>
      </c>
      <c r="D37" s="2">
        <f>VLOOKUP($C37,DEFINES!$A$2:$C$10,2,)</f>
        <v>2</v>
      </c>
      <c r="E37" s="2">
        <f>VLOOKUP($C37,DEFINES!$A$2:$C$10,3,)</f>
        <v>1</v>
      </c>
      <c r="F37" s="6" t="s">
        <v>364</v>
      </c>
      <c r="G37" s="6" t="s">
        <v>388</v>
      </c>
      <c r="H37" s="6" t="s">
        <v>388</v>
      </c>
      <c r="I37" s="6" t="s">
        <v>40</v>
      </c>
      <c r="J37" s="6" t="s">
        <v>41</v>
      </c>
      <c r="K37" s="6" t="s">
        <v>42</v>
      </c>
    </row>
    <row r="38" spans="1:11">
      <c r="A38" s="2">
        <v>102236</v>
      </c>
      <c r="B38" s="2">
        <v>17429</v>
      </c>
      <c r="C38" s="2">
        <v>6</v>
      </c>
      <c r="D38" s="2">
        <f>VLOOKUP($C38,DEFINES!$A$2:$C$10,2,)</f>
        <v>2</v>
      </c>
      <c r="E38" s="2">
        <f>VLOOKUP($C38,DEFINES!$A$2:$C$10,3,)</f>
        <v>1</v>
      </c>
      <c r="F38" s="6" t="s">
        <v>365</v>
      </c>
      <c r="G38" s="6" t="s">
        <v>389</v>
      </c>
      <c r="H38" s="6" t="s">
        <v>389</v>
      </c>
      <c r="I38" s="6" t="s">
        <v>40</v>
      </c>
      <c r="J38" s="6" t="s">
        <v>41</v>
      </c>
      <c r="K38" s="6" t="s">
        <v>42</v>
      </c>
    </row>
    <row r="39" spans="1:11">
      <c r="A39" s="2">
        <v>102237</v>
      </c>
      <c r="B39" s="2">
        <v>32769</v>
      </c>
      <c r="C39" s="2">
        <v>7</v>
      </c>
      <c r="D39" s="2">
        <f>VLOOKUP($C39,DEFINES!$A$2:$C$10,2,)</f>
        <v>1</v>
      </c>
      <c r="E39" s="2">
        <f>VLOOKUP($C39,DEFINES!$A$2:$C$10,3,)</f>
        <v>1</v>
      </c>
      <c r="F39" s="6" t="s">
        <v>366</v>
      </c>
      <c r="G39" s="6" t="s">
        <v>390</v>
      </c>
      <c r="H39" s="6" t="s">
        <v>390</v>
      </c>
      <c r="I39" s="6" t="s">
        <v>40</v>
      </c>
      <c r="J39" s="6" t="s">
        <v>41</v>
      </c>
      <c r="K39" s="6" t="s">
        <v>42</v>
      </c>
    </row>
    <row r="40" spans="1:11">
      <c r="A40" s="2">
        <v>102238</v>
      </c>
      <c r="B40" s="2">
        <v>32770</v>
      </c>
      <c r="C40" s="2">
        <v>7</v>
      </c>
      <c r="D40" s="2">
        <f>VLOOKUP($C40,DEFINES!$A$2:$C$10,2,)</f>
        <v>1</v>
      </c>
      <c r="E40" s="2">
        <f>VLOOKUP($C40,DEFINES!$A$2:$C$10,3,)</f>
        <v>1</v>
      </c>
      <c r="F40" s="6" t="s">
        <v>367</v>
      </c>
      <c r="G40" s="6" t="s">
        <v>391</v>
      </c>
      <c r="H40" s="6" t="s">
        <v>391</v>
      </c>
      <c r="I40" s="6" t="s">
        <v>40</v>
      </c>
      <c r="J40" s="6" t="s">
        <v>41</v>
      </c>
      <c r="K40" s="6" t="s">
        <v>42</v>
      </c>
    </row>
    <row r="41" spans="1:11">
      <c r="A41" s="2">
        <v>102239</v>
      </c>
      <c r="B41" s="2">
        <v>32771</v>
      </c>
      <c r="C41" s="2">
        <v>7</v>
      </c>
      <c r="D41" s="2">
        <f>VLOOKUP($C41,DEFINES!$A$2:$C$10,2,)</f>
        <v>1</v>
      </c>
      <c r="E41" s="2">
        <f>VLOOKUP($C41,DEFINES!$A$2:$C$10,3,)</f>
        <v>1</v>
      </c>
      <c r="F41" s="6" t="s">
        <v>368</v>
      </c>
      <c r="G41" s="6" t="s">
        <v>392</v>
      </c>
      <c r="H41" s="6" t="s">
        <v>392</v>
      </c>
      <c r="I41" s="6" t="s">
        <v>40</v>
      </c>
      <c r="J41" s="6" t="s">
        <v>41</v>
      </c>
      <c r="K41" s="6" t="s">
        <v>42</v>
      </c>
    </row>
    <row r="42" spans="1:11">
      <c r="A42" s="2">
        <v>102240</v>
      </c>
      <c r="B42" s="2">
        <v>33026</v>
      </c>
      <c r="C42" s="2">
        <v>7</v>
      </c>
      <c r="D42" s="2">
        <f>VLOOKUP($C42,DEFINES!$A$2:$C$10,2,)</f>
        <v>1</v>
      </c>
      <c r="E42" s="2">
        <f>VLOOKUP($C42,DEFINES!$A$2:$C$10,3,)</f>
        <v>1</v>
      </c>
      <c r="F42" s="6" t="s">
        <v>369</v>
      </c>
      <c r="G42" s="6" t="s">
        <v>393</v>
      </c>
      <c r="H42" s="6" t="s">
        <v>393</v>
      </c>
      <c r="I42" s="6" t="s">
        <v>40</v>
      </c>
      <c r="J42" s="6" t="s">
        <v>41</v>
      </c>
      <c r="K42" s="6" t="s">
        <v>42</v>
      </c>
    </row>
    <row r="43" spans="1:11">
      <c r="A43" s="2">
        <v>102241</v>
      </c>
      <c r="B43" s="2">
        <v>33027</v>
      </c>
      <c r="C43" s="2">
        <v>7</v>
      </c>
      <c r="D43" s="2">
        <f>VLOOKUP($C43,DEFINES!$A$2:$C$10,2,)</f>
        <v>1</v>
      </c>
      <c r="E43" s="2">
        <f>VLOOKUP($C43,DEFINES!$A$2:$C$10,3,)</f>
        <v>1</v>
      </c>
      <c r="F43" s="6" t="s">
        <v>370</v>
      </c>
      <c r="G43" s="6" t="s">
        <v>394</v>
      </c>
      <c r="H43" s="6" t="s">
        <v>394</v>
      </c>
      <c r="I43" s="6" t="s">
        <v>40</v>
      </c>
      <c r="J43" s="6" t="s">
        <v>41</v>
      </c>
      <c r="K43" s="6" t="s">
        <v>42</v>
      </c>
    </row>
    <row r="44" spans="1:11">
      <c r="A44" s="2">
        <v>102242</v>
      </c>
      <c r="B44" s="2">
        <v>33028</v>
      </c>
      <c r="C44" s="2">
        <v>7</v>
      </c>
      <c r="D44" s="2">
        <f>VLOOKUP($C44,DEFINES!$A$2:$C$10,2,)</f>
        <v>1</v>
      </c>
      <c r="E44" s="2">
        <f>VLOOKUP($C44,DEFINES!$A$2:$C$10,3,)</f>
        <v>1</v>
      </c>
      <c r="F44" s="6" t="s">
        <v>412</v>
      </c>
      <c r="G44" s="6" t="s">
        <v>383</v>
      </c>
      <c r="H44" s="6" t="s">
        <v>383</v>
      </c>
      <c r="I44" s="6" t="s">
        <v>40</v>
      </c>
      <c r="J44" s="6" t="s">
        <v>41</v>
      </c>
      <c r="K44" s="6" t="s">
        <v>42</v>
      </c>
    </row>
    <row r="45" spans="1:11">
      <c r="A45" s="2">
        <v>102243</v>
      </c>
      <c r="B45" s="2">
        <v>33029</v>
      </c>
      <c r="C45" s="2">
        <v>7</v>
      </c>
      <c r="D45" s="2">
        <f>VLOOKUP($C45,DEFINES!$A$2:$C$10,2,)</f>
        <v>1</v>
      </c>
      <c r="E45" s="2">
        <f>VLOOKUP($C45,DEFINES!$A$2:$C$10,3,)</f>
        <v>1</v>
      </c>
      <c r="F45" s="6" t="s">
        <v>371</v>
      </c>
      <c r="G45" s="6" t="s">
        <v>371</v>
      </c>
      <c r="H45" s="6" t="s">
        <v>371</v>
      </c>
      <c r="I45" s="6" t="s">
        <v>40</v>
      </c>
      <c r="J45" s="6" t="s">
        <v>41</v>
      </c>
      <c r="K45" s="6" t="s">
        <v>42</v>
      </c>
    </row>
    <row r="46" spans="1:11">
      <c r="A46" s="2">
        <v>102244</v>
      </c>
      <c r="B46" s="2">
        <v>33077</v>
      </c>
      <c r="C46" s="2">
        <v>7</v>
      </c>
      <c r="D46" s="2">
        <f>VLOOKUP($C46,DEFINES!$A$2:$C$10,2,)</f>
        <v>1</v>
      </c>
      <c r="E46" s="2">
        <f>VLOOKUP($C46,DEFINES!$A$2:$C$10,3,)</f>
        <v>1</v>
      </c>
      <c r="F46" s="6" t="s">
        <v>372</v>
      </c>
      <c r="G46" s="6" t="s">
        <v>395</v>
      </c>
      <c r="H46" s="6" t="s">
        <v>395</v>
      </c>
      <c r="I46" s="6" t="s">
        <v>40</v>
      </c>
      <c r="J46" s="6" t="s">
        <v>41</v>
      </c>
      <c r="K46" s="6" t="s">
        <v>42</v>
      </c>
    </row>
    <row r="47" spans="1:11">
      <c r="A47" s="2">
        <v>102245</v>
      </c>
      <c r="B47" s="2">
        <v>33281</v>
      </c>
      <c r="C47" s="2">
        <v>7</v>
      </c>
      <c r="D47" s="2">
        <f>VLOOKUP($C47,DEFINES!$A$2:$C$10,2,)</f>
        <v>1</v>
      </c>
      <c r="E47" s="2">
        <f>VLOOKUP($C47,DEFINES!$A$2:$C$10,3,)</f>
        <v>1</v>
      </c>
      <c r="F47" s="6" t="s">
        <v>373</v>
      </c>
      <c r="G47" s="6" t="s">
        <v>396</v>
      </c>
      <c r="H47" s="6" t="s">
        <v>396</v>
      </c>
      <c r="I47" s="6" t="s">
        <v>40</v>
      </c>
      <c r="J47" s="6" t="s">
        <v>41</v>
      </c>
      <c r="K47" s="6" t="s">
        <v>42</v>
      </c>
    </row>
    <row r="48" spans="1:11">
      <c r="A48" s="2">
        <v>102246</v>
      </c>
      <c r="B48" s="2">
        <v>33538</v>
      </c>
      <c r="C48" s="2">
        <v>7</v>
      </c>
      <c r="D48" s="2">
        <f>VLOOKUP($C48,DEFINES!$A$2:$C$10,2,)</f>
        <v>1</v>
      </c>
      <c r="E48" s="2">
        <f>VLOOKUP($C48,DEFINES!$A$2:$C$10,3,)</f>
        <v>1</v>
      </c>
      <c r="F48" s="6" t="s">
        <v>374</v>
      </c>
      <c r="G48" s="6" t="s">
        <v>397</v>
      </c>
      <c r="H48" s="6" t="s">
        <v>397</v>
      </c>
      <c r="I48" s="6" t="s">
        <v>40</v>
      </c>
      <c r="J48" s="6" t="s">
        <v>41</v>
      </c>
      <c r="K48" s="6" t="s">
        <v>42</v>
      </c>
    </row>
    <row r="49" spans="1:11">
      <c r="A49" s="2">
        <v>102247</v>
      </c>
      <c r="B49" s="2">
        <v>33795</v>
      </c>
      <c r="C49" s="2">
        <v>7</v>
      </c>
      <c r="D49" s="2">
        <f>VLOOKUP($C49,DEFINES!$A$2:$C$10,2,)</f>
        <v>1</v>
      </c>
      <c r="E49" s="2">
        <f>VLOOKUP($C49,DEFINES!$A$2:$C$10,3,)</f>
        <v>1</v>
      </c>
      <c r="F49" s="6" t="s">
        <v>375</v>
      </c>
      <c r="G49" s="6" t="s">
        <v>398</v>
      </c>
      <c r="H49" s="6" t="s">
        <v>398</v>
      </c>
      <c r="I49" s="6" t="s">
        <v>40</v>
      </c>
      <c r="J49" s="6" t="s">
        <v>41</v>
      </c>
      <c r="K49" s="6" t="s">
        <v>42</v>
      </c>
    </row>
    <row r="50" spans="1:11">
      <c r="A50" s="2">
        <v>102248</v>
      </c>
      <c r="B50" s="2">
        <v>33796</v>
      </c>
      <c r="C50" s="2">
        <v>7</v>
      </c>
      <c r="D50" s="2">
        <f>VLOOKUP($C50,DEFINES!$A$2:$C$10,2,)</f>
        <v>1</v>
      </c>
      <c r="E50" s="2">
        <f>VLOOKUP($C50,DEFINES!$A$2:$C$10,3,)</f>
        <v>1</v>
      </c>
      <c r="F50" s="6" t="s">
        <v>376</v>
      </c>
      <c r="G50" s="6" t="s">
        <v>399</v>
      </c>
      <c r="H50" s="6" t="s">
        <v>399</v>
      </c>
      <c r="I50" s="6" t="s">
        <v>40</v>
      </c>
      <c r="J50" s="6" t="s">
        <v>41</v>
      </c>
      <c r="K50" s="6" t="s">
        <v>42</v>
      </c>
    </row>
    <row r="51" spans="1:11">
      <c r="A51" s="2">
        <v>102249</v>
      </c>
      <c r="B51" s="2">
        <v>33798</v>
      </c>
      <c r="C51" s="2">
        <v>7</v>
      </c>
      <c r="D51" s="2">
        <f>VLOOKUP($C51,DEFINES!$A$2:$C$10,2,)</f>
        <v>1</v>
      </c>
      <c r="E51" s="2">
        <f>VLOOKUP($C51,DEFINES!$A$2:$C$10,3,)</f>
        <v>1</v>
      </c>
      <c r="F51" s="6" t="s">
        <v>362</v>
      </c>
      <c r="G51" s="6" t="s">
        <v>400</v>
      </c>
      <c r="H51" s="6" t="s">
        <v>400</v>
      </c>
      <c r="I51" s="6" t="s">
        <v>40</v>
      </c>
      <c r="J51" s="6" t="s">
        <v>41</v>
      </c>
      <c r="K51" s="6" t="s">
        <v>42</v>
      </c>
    </row>
    <row r="52" spans="1:11">
      <c r="A52" s="2">
        <v>102250</v>
      </c>
      <c r="B52" s="2">
        <v>33799</v>
      </c>
      <c r="C52" s="2">
        <v>7</v>
      </c>
      <c r="D52" s="2">
        <f>VLOOKUP($C52,DEFINES!$A$2:$C$10,2,)</f>
        <v>1</v>
      </c>
      <c r="E52" s="2">
        <f>VLOOKUP($C52,DEFINES!$A$2:$C$10,3,)</f>
        <v>1</v>
      </c>
      <c r="F52" s="6" t="s">
        <v>377</v>
      </c>
      <c r="G52" s="6" t="s">
        <v>401</v>
      </c>
      <c r="H52" s="6" t="s">
        <v>401</v>
      </c>
      <c r="I52" s="6" t="s">
        <v>40</v>
      </c>
      <c r="J52" s="6" t="s">
        <v>41</v>
      </c>
      <c r="K52" s="6" t="s">
        <v>42</v>
      </c>
    </row>
    <row r="53" spans="1:11">
      <c r="A53" s="2">
        <v>102251</v>
      </c>
      <c r="B53" s="2">
        <v>33800</v>
      </c>
      <c r="C53" s="2">
        <v>7</v>
      </c>
      <c r="D53" s="2">
        <f>VLOOKUP($C53,DEFINES!$A$2:$C$10,2,)</f>
        <v>1</v>
      </c>
      <c r="E53" s="2">
        <f>VLOOKUP($C53,DEFINES!$A$2:$C$10,3,)</f>
        <v>1</v>
      </c>
      <c r="F53" s="6" t="s">
        <v>363</v>
      </c>
      <c r="G53" s="6" t="s">
        <v>402</v>
      </c>
      <c r="H53" s="6" t="s">
        <v>402</v>
      </c>
      <c r="I53" s="6" t="s">
        <v>40</v>
      </c>
      <c r="J53" s="6" t="s">
        <v>41</v>
      </c>
      <c r="K53" s="6" t="s">
        <v>42</v>
      </c>
    </row>
    <row r="54" spans="1:11">
      <c r="A54" s="2">
        <v>102252</v>
      </c>
      <c r="B54" s="2">
        <v>33801</v>
      </c>
      <c r="C54" s="2">
        <v>7</v>
      </c>
      <c r="D54" s="2">
        <f>VLOOKUP($C54,DEFINES!$A$2:$C$10,2,)</f>
        <v>1</v>
      </c>
      <c r="E54" s="2">
        <f>VLOOKUP($C54,DEFINES!$A$2:$C$10,3,)</f>
        <v>1</v>
      </c>
      <c r="F54" s="6" t="s">
        <v>378</v>
      </c>
      <c r="G54" s="6" t="s">
        <v>403</v>
      </c>
      <c r="H54" s="6" t="s">
        <v>403</v>
      </c>
      <c r="I54" s="6" t="s">
        <v>40</v>
      </c>
      <c r="J54" s="6" t="s">
        <v>41</v>
      </c>
      <c r="K54" s="6" t="s">
        <v>42</v>
      </c>
    </row>
    <row r="55" spans="1:11">
      <c r="A55" s="2">
        <v>102253</v>
      </c>
      <c r="B55" s="2">
        <v>65535</v>
      </c>
      <c r="C55" s="2">
        <v>7</v>
      </c>
      <c r="D55" s="2">
        <f>VLOOKUP($C55,DEFINES!$A$2:$C$10,2,)</f>
        <v>1</v>
      </c>
      <c r="E55" s="2">
        <f>VLOOKUP($C55,DEFINES!$A$2:$C$10,3,)</f>
        <v>1</v>
      </c>
      <c r="F55" s="6" t="s">
        <v>379</v>
      </c>
      <c r="G55" s="6" t="s">
        <v>379</v>
      </c>
      <c r="H55" s="6" t="s">
        <v>379</v>
      </c>
      <c r="I55" s="6" t="s">
        <v>40</v>
      </c>
      <c r="J55" s="6" t="s">
        <v>41</v>
      </c>
      <c r="K55" s="6" t="s">
        <v>42</v>
      </c>
    </row>
    <row r="56" spans="1:11">
      <c r="A56" s="2">
        <v>102254</v>
      </c>
    </row>
    <row r="57" spans="1:11">
      <c r="A57" s="2">
        <v>102255</v>
      </c>
    </row>
    <row r="58" spans="1:11">
      <c r="A58" s="2">
        <v>102256</v>
      </c>
    </row>
    <row r="59" spans="1:11">
      <c r="A59" s="2">
        <v>102257</v>
      </c>
    </row>
    <row r="60" spans="1:11">
      <c r="A60" s="2">
        <v>102258</v>
      </c>
    </row>
    <row r="61" spans="1:11">
      <c r="A61" s="2">
        <v>102259</v>
      </c>
    </row>
    <row r="62" spans="1:11">
      <c r="A62" s="2">
        <v>102260</v>
      </c>
    </row>
    <row r="63" spans="1:11">
      <c r="A63" s="2">
        <v>102261</v>
      </c>
    </row>
    <row r="64" spans="1:11">
      <c r="A64" s="2">
        <v>102262</v>
      </c>
    </row>
    <row r="65" spans="1:1">
      <c r="A65" s="2">
        <v>102263</v>
      </c>
    </row>
    <row r="66" spans="1:1">
      <c r="A66" s="2">
        <v>102264</v>
      </c>
    </row>
    <row r="67" spans="1:1">
      <c r="A67" s="2">
        <v>102265</v>
      </c>
    </row>
    <row r="68" spans="1:1">
      <c r="A68" s="2">
        <v>102266</v>
      </c>
    </row>
    <row r="69" spans="1:1">
      <c r="A69" s="2">
        <v>102267</v>
      </c>
    </row>
    <row r="70" spans="1:1">
      <c r="A70" s="2">
        <v>102268</v>
      </c>
    </row>
    <row r="71" spans="1:1">
      <c r="A71" s="2">
        <v>102269</v>
      </c>
    </row>
    <row r="72" spans="1:1">
      <c r="A72" s="2">
        <v>102270</v>
      </c>
    </row>
    <row r="73" spans="1:1">
      <c r="A73" s="2">
        <v>102271</v>
      </c>
    </row>
    <row r="74" spans="1:1">
      <c r="A74" s="2">
        <v>102272</v>
      </c>
    </row>
    <row r="75" spans="1:1">
      <c r="A75" s="2">
        <v>102273</v>
      </c>
    </row>
    <row r="76" spans="1:1">
      <c r="A76" s="2">
        <v>102274</v>
      </c>
    </row>
    <row r="77" spans="1:1">
      <c r="A77" s="2">
        <v>102275</v>
      </c>
    </row>
    <row r="78" spans="1:1">
      <c r="A78" s="2">
        <v>102276</v>
      </c>
    </row>
    <row r="79" spans="1:1">
      <c r="A79" s="2">
        <v>102277</v>
      </c>
    </row>
    <row r="80" spans="1:1">
      <c r="A80" s="2">
        <v>102278</v>
      </c>
    </row>
    <row r="81" spans="1:1">
      <c r="A81" s="2">
        <v>102279</v>
      </c>
    </row>
    <row r="82" spans="1:1">
      <c r="A82" s="2">
        <v>102280</v>
      </c>
    </row>
    <row r="83" spans="1:1">
      <c r="A83" s="2">
        <v>102281</v>
      </c>
    </row>
    <row r="84" spans="1:1">
      <c r="A84" s="2">
        <v>102282</v>
      </c>
    </row>
    <row r="85" spans="1:1">
      <c r="A85" s="2">
        <v>102283</v>
      </c>
    </row>
    <row r="86" spans="1:1">
      <c r="A86" s="2">
        <v>102284</v>
      </c>
    </row>
    <row r="87" spans="1:1">
      <c r="A87" s="2">
        <v>102285</v>
      </c>
    </row>
    <row r="88" spans="1:1">
      <c r="A88" s="2">
        <v>102286</v>
      </c>
    </row>
    <row r="89" spans="1:1">
      <c r="A89" s="2">
        <v>102287</v>
      </c>
    </row>
    <row r="90" spans="1:1">
      <c r="A90" s="2">
        <v>102288</v>
      </c>
    </row>
    <row r="91" spans="1:1">
      <c r="A91" s="2">
        <v>102289</v>
      </c>
    </row>
    <row r="92" spans="1:1">
      <c r="A92" s="2">
        <v>102290</v>
      </c>
    </row>
    <row r="93" spans="1:1">
      <c r="A93" s="2">
        <v>102291</v>
      </c>
    </row>
    <row r="94" spans="1:1">
      <c r="A94" s="2">
        <v>102292</v>
      </c>
    </row>
    <row r="95" spans="1:1">
      <c r="A95" s="2">
        <v>102293</v>
      </c>
    </row>
    <row r="96" spans="1:1">
      <c r="A96" s="2">
        <v>102294</v>
      </c>
    </row>
    <row r="97" spans="1:1">
      <c r="A97" s="2">
        <v>102295</v>
      </c>
    </row>
    <row r="98" spans="1:1">
      <c r="A98" s="2">
        <v>102296</v>
      </c>
    </row>
    <row r="99" spans="1:1">
      <c r="A99" s="2">
        <v>102297</v>
      </c>
    </row>
    <row r="100" spans="1:1">
      <c r="A100" s="2">
        <v>102298</v>
      </c>
    </row>
    <row r="101" spans="1:1">
      <c r="A101" s="2">
        <v>102299</v>
      </c>
    </row>
  </sheetData>
  <pageMargins left="0.7" right="0.7" top="0.78740157499999996" bottom="0.78740157499999996" header="0.3" footer="0.3"/>
  <pageSetup paperSize="0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43">
    <tabColor theme="1"/>
  </sheetPr>
  <dimension ref="A1:K101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K14" sqref="K14"/>
    </sheetView>
  </sheetViews>
  <sheetFormatPr defaultColWidth="11.453125" defaultRowHeight="12.5" outlineLevelCol="1"/>
  <cols>
    <col min="3" max="5" width="11.453125" customWidth="1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102400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>
        <v>102401</v>
      </c>
      <c r="B3" s="5"/>
      <c r="C3" s="8" t="s">
        <v>2</v>
      </c>
      <c r="D3" s="2" t="s">
        <v>2</v>
      </c>
      <c r="E3" s="2" t="s">
        <v>2</v>
      </c>
      <c r="F3" s="6" t="s">
        <v>164</v>
      </c>
      <c r="G3" s="3" t="s">
        <v>418</v>
      </c>
      <c r="H3" s="3" t="s">
        <v>418</v>
      </c>
      <c r="I3" s="7" t="s">
        <v>419</v>
      </c>
      <c r="J3" s="7" t="s">
        <v>420</v>
      </c>
      <c r="K3" s="7" t="s">
        <v>421</v>
      </c>
    </row>
    <row r="4" spans="1:11">
      <c r="A4" s="2">
        <v>102402</v>
      </c>
      <c r="B4" s="2">
        <v>1</v>
      </c>
      <c r="C4" s="2">
        <v>7</v>
      </c>
      <c r="D4" s="2">
        <f>VLOOKUP($C4,DEFINES!$A$2:$C$10,2,)</f>
        <v>1</v>
      </c>
      <c r="E4" s="2">
        <f>VLOOKUP($C4,DEFINES!$A$2:$C$10,3,)</f>
        <v>1</v>
      </c>
      <c r="F4" s="6" t="s">
        <v>71</v>
      </c>
      <c r="G4" s="3" t="s">
        <v>163</v>
      </c>
      <c r="H4" s="3" t="s">
        <v>163</v>
      </c>
      <c r="I4" s="6" t="s">
        <v>40</v>
      </c>
      <c r="J4" s="6" t="s">
        <v>41</v>
      </c>
      <c r="K4" s="6" t="s">
        <v>42</v>
      </c>
    </row>
    <row r="5" spans="1:11">
      <c r="A5" s="2">
        <v>102403</v>
      </c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6" t="s">
        <v>72</v>
      </c>
      <c r="G5" s="3" t="s">
        <v>163</v>
      </c>
      <c r="H5" s="3" t="s">
        <v>163</v>
      </c>
      <c r="I5" s="6" t="s">
        <v>40</v>
      </c>
      <c r="J5" s="6" t="s">
        <v>41</v>
      </c>
      <c r="K5" s="6" t="s">
        <v>42</v>
      </c>
    </row>
    <row r="6" spans="1:11">
      <c r="A6" s="2">
        <v>102404</v>
      </c>
      <c r="B6" s="2">
        <v>3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6" t="s">
        <v>74</v>
      </c>
      <c r="G6" s="3" t="s">
        <v>163</v>
      </c>
      <c r="H6" s="3" t="s">
        <v>163</v>
      </c>
      <c r="I6" s="6" t="s">
        <v>40</v>
      </c>
      <c r="J6" s="6" t="s">
        <v>41</v>
      </c>
      <c r="K6" s="6" t="s">
        <v>42</v>
      </c>
    </row>
    <row r="7" spans="1:11">
      <c r="A7" s="2">
        <v>102405</v>
      </c>
      <c r="B7" s="2">
        <v>4</v>
      </c>
      <c r="C7" s="2">
        <v>6</v>
      </c>
      <c r="D7" s="2">
        <f>VLOOKUP($C7,DEFINES!$A$2:$C$10,2,)</f>
        <v>2</v>
      </c>
      <c r="E7" s="2">
        <f>VLOOKUP($C7,DEFINES!$A$2:$C$10,3,)</f>
        <v>1</v>
      </c>
      <c r="F7" s="6" t="s">
        <v>73</v>
      </c>
      <c r="G7" s="3" t="s">
        <v>163</v>
      </c>
      <c r="H7" s="3" t="s">
        <v>163</v>
      </c>
      <c r="I7" s="6" t="s">
        <v>40</v>
      </c>
      <c r="J7" s="6" t="s">
        <v>41</v>
      </c>
      <c r="K7" s="6" t="s">
        <v>42</v>
      </c>
    </row>
    <row r="8" spans="1:11">
      <c r="A8" s="2">
        <v>102406</v>
      </c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3" t="s">
        <v>70</v>
      </c>
      <c r="G8" s="3" t="s">
        <v>163</v>
      </c>
      <c r="H8" s="3" t="s">
        <v>163</v>
      </c>
      <c r="I8" s="6" t="s">
        <v>40</v>
      </c>
      <c r="J8" s="6" t="s">
        <v>41</v>
      </c>
      <c r="K8" s="6" t="s">
        <v>42</v>
      </c>
    </row>
    <row r="9" spans="1:11">
      <c r="A9" s="2">
        <v>102407</v>
      </c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3" t="s">
        <v>69</v>
      </c>
      <c r="G9" s="3" t="s">
        <v>163</v>
      </c>
      <c r="H9" s="3" t="s">
        <v>163</v>
      </c>
      <c r="I9" s="6" t="s">
        <v>40</v>
      </c>
      <c r="J9" s="6" t="s">
        <v>41</v>
      </c>
      <c r="K9" s="6" t="s">
        <v>42</v>
      </c>
    </row>
    <row r="10" spans="1:11">
      <c r="A10" s="2">
        <v>102408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67</v>
      </c>
      <c r="G10" s="3" t="s">
        <v>163</v>
      </c>
      <c r="H10" s="3" t="s">
        <v>163</v>
      </c>
      <c r="I10" s="6" t="s">
        <v>40</v>
      </c>
      <c r="J10" s="6" t="s">
        <v>41</v>
      </c>
      <c r="K10" s="6" t="s">
        <v>42</v>
      </c>
    </row>
    <row r="11" spans="1:11">
      <c r="A11" s="2">
        <v>102409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3" t="s">
        <v>68</v>
      </c>
      <c r="G11" s="3" t="s">
        <v>163</v>
      </c>
      <c r="H11" s="3" t="s">
        <v>163</v>
      </c>
      <c r="I11" s="6" t="s">
        <v>40</v>
      </c>
      <c r="J11" s="6" t="s">
        <v>41</v>
      </c>
      <c r="K11" s="6" t="s">
        <v>42</v>
      </c>
    </row>
    <row r="12" spans="1:11">
      <c r="A12" s="2">
        <v>102410</v>
      </c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66</v>
      </c>
      <c r="G12" s="3" t="s">
        <v>163</v>
      </c>
      <c r="H12" s="3" t="s">
        <v>163</v>
      </c>
      <c r="I12" s="6" t="s">
        <v>40</v>
      </c>
      <c r="J12" s="6" t="s">
        <v>41</v>
      </c>
      <c r="K12" s="6" t="s">
        <v>42</v>
      </c>
    </row>
    <row r="13" spans="1:11">
      <c r="A13" s="2">
        <v>102411</v>
      </c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65</v>
      </c>
      <c r="G13" s="3" t="s">
        <v>163</v>
      </c>
      <c r="H13" s="3" t="s">
        <v>163</v>
      </c>
      <c r="I13" s="6" t="s">
        <v>40</v>
      </c>
      <c r="J13" s="6" t="s">
        <v>41</v>
      </c>
      <c r="K13" s="6" t="s">
        <v>42</v>
      </c>
    </row>
    <row r="14" spans="1:11">
      <c r="A14" s="2">
        <v>102412</v>
      </c>
      <c r="B14" s="10">
        <v>201</v>
      </c>
      <c r="C14" s="10">
        <v>7</v>
      </c>
      <c r="D14" s="10">
        <v>0</v>
      </c>
      <c r="E14" s="10">
        <v>1</v>
      </c>
      <c r="F14" s="12" t="s">
        <v>47</v>
      </c>
      <c r="G14" s="12" t="s">
        <v>47</v>
      </c>
      <c r="H14" s="12" t="s">
        <v>47</v>
      </c>
      <c r="I14" s="12" t="s">
        <v>47</v>
      </c>
      <c r="J14" s="12" t="s">
        <v>47</v>
      </c>
      <c r="K14" s="12" t="s">
        <v>47</v>
      </c>
    </row>
    <row r="15" spans="1:11">
      <c r="A15" s="10">
        <v>102413</v>
      </c>
      <c r="B15" s="2"/>
      <c r="C15" s="2"/>
      <c r="D15" s="2"/>
      <c r="E15" s="2"/>
      <c r="F15" s="3"/>
      <c r="G15" s="3"/>
      <c r="H15" s="3"/>
      <c r="I15" s="3"/>
      <c r="J15" s="3"/>
      <c r="K15" s="3"/>
    </row>
    <row r="16" spans="1:11">
      <c r="A16" s="2">
        <v>102414</v>
      </c>
      <c r="B16" s="2"/>
      <c r="C16" s="2"/>
      <c r="D16" s="2"/>
      <c r="E16" s="2"/>
      <c r="F16" s="3"/>
      <c r="G16" s="3"/>
      <c r="H16" s="3"/>
      <c r="I16" s="3"/>
      <c r="J16" s="3"/>
      <c r="K16" s="3"/>
    </row>
    <row r="17" spans="1:11">
      <c r="A17" s="2">
        <v>102415</v>
      </c>
      <c r="B17" s="2"/>
      <c r="C17" s="2"/>
      <c r="D17" s="2"/>
      <c r="E17" s="2"/>
      <c r="F17" s="3"/>
      <c r="G17" s="3"/>
      <c r="H17" s="3"/>
      <c r="I17" s="3"/>
      <c r="J17" s="3"/>
      <c r="K17" s="3"/>
    </row>
    <row r="18" spans="1:11">
      <c r="A18" s="2">
        <v>102416</v>
      </c>
      <c r="B18" s="2"/>
      <c r="C18" s="2"/>
      <c r="D18" s="2"/>
      <c r="E18" s="2"/>
      <c r="F18" s="3"/>
      <c r="G18" s="3"/>
      <c r="H18" s="3"/>
      <c r="I18" s="3"/>
      <c r="J18" s="3"/>
      <c r="K18" s="3"/>
    </row>
    <row r="19" spans="1:11">
      <c r="A19" s="2">
        <v>102417</v>
      </c>
      <c r="B19" s="2"/>
      <c r="C19" s="2"/>
      <c r="D19" s="2"/>
      <c r="E19" s="2"/>
      <c r="F19" s="3"/>
      <c r="G19" s="3"/>
      <c r="H19" s="3"/>
      <c r="I19" s="3"/>
      <c r="J19" s="3"/>
      <c r="K19" s="3"/>
    </row>
    <row r="20" spans="1:11">
      <c r="A20" s="2">
        <v>102418</v>
      </c>
      <c r="B20" s="2"/>
      <c r="C20" s="2"/>
      <c r="D20" s="2"/>
      <c r="E20" s="2"/>
      <c r="F20" s="3"/>
      <c r="G20" s="3"/>
      <c r="H20" s="3"/>
      <c r="I20" s="3"/>
      <c r="J20" s="3"/>
      <c r="K20" s="3"/>
    </row>
    <row r="21" spans="1:11">
      <c r="A21" s="2">
        <v>102419</v>
      </c>
      <c r="B21" s="2"/>
      <c r="C21" s="2"/>
      <c r="D21" s="2"/>
      <c r="E21" s="2"/>
      <c r="F21" s="3"/>
      <c r="G21" s="3"/>
      <c r="H21" s="3"/>
      <c r="I21" s="3"/>
      <c r="J21" s="3"/>
      <c r="K21" s="3"/>
    </row>
    <row r="22" spans="1:11">
      <c r="A22" s="2">
        <v>102420</v>
      </c>
      <c r="B22" s="2"/>
      <c r="C22" s="2"/>
      <c r="D22" s="2"/>
      <c r="E22" s="2"/>
      <c r="F22" s="3"/>
      <c r="G22" s="3"/>
      <c r="H22" s="3"/>
      <c r="I22" s="3"/>
      <c r="J22" s="3"/>
      <c r="K22" s="3"/>
    </row>
    <row r="23" spans="1:11">
      <c r="A23" s="2">
        <v>102421</v>
      </c>
      <c r="B23" s="2"/>
      <c r="C23" s="2"/>
      <c r="D23" s="2"/>
      <c r="E23" s="2"/>
      <c r="F23" s="3"/>
      <c r="G23" s="3"/>
      <c r="H23" s="3"/>
      <c r="I23" s="3"/>
      <c r="J23" s="3"/>
      <c r="K23" s="3"/>
    </row>
    <row r="24" spans="1:11">
      <c r="A24" s="2">
        <v>102422</v>
      </c>
      <c r="B24" s="2"/>
      <c r="C24" s="2"/>
      <c r="D24" s="2"/>
      <c r="E24" s="2"/>
      <c r="F24" s="3"/>
      <c r="G24" s="3"/>
      <c r="H24" s="3"/>
      <c r="I24" s="3"/>
      <c r="J24" s="3"/>
      <c r="K24" s="3"/>
    </row>
    <row r="25" spans="1:11">
      <c r="A25" s="2">
        <v>102423</v>
      </c>
      <c r="B25" s="2"/>
      <c r="C25" s="2"/>
      <c r="D25" s="2"/>
      <c r="E25" s="2"/>
      <c r="F25" s="3"/>
      <c r="G25" s="3"/>
      <c r="H25" s="3"/>
      <c r="I25" s="3"/>
      <c r="J25" s="3"/>
      <c r="K25" s="3"/>
    </row>
    <row r="26" spans="1:11">
      <c r="A26" s="2">
        <v>102424</v>
      </c>
      <c r="B26" s="2"/>
      <c r="C26" s="2"/>
      <c r="D26" s="2"/>
      <c r="E26" s="2"/>
      <c r="F26" s="3"/>
      <c r="G26" s="3"/>
      <c r="H26" s="3"/>
      <c r="I26" s="3"/>
      <c r="J26" s="3"/>
      <c r="K26" s="3"/>
    </row>
    <row r="27" spans="1:11">
      <c r="A27" s="2">
        <v>102425</v>
      </c>
      <c r="B27" s="2"/>
      <c r="C27" s="2"/>
      <c r="D27" s="2"/>
      <c r="E27" s="2"/>
      <c r="F27" s="3"/>
      <c r="G27" s="3"/>
      <c r="H27" s="3"/>
      <c r="I27" s="3"/>
      <c r="J27" s="3"/>
      <c r="K27" s="3"/>
    </row>
    <row r="28" spans="1:11">
      <c r="A28" s="2">
        <v>102426</v>
      </c>
      <c r="B28" s="2"/>
      <c r="C28" s="2"/>
      <c r="D28" s="2"/>
      <c r="E28" s="2"/>
      <c r="F28" s="3"/>
      <c r="G28" s="3"/>
      <c r="H28" s="3"/>
      <c r="I28" s="3"/>
      <c r="J28" s="3"/>
      <c r="K28" s="3"/>
    </row>
    <row r="29" spans="1:11">
      <c r="A29" s="2">
        <v>102427</v>
      </c>
      <c r="B29" s="2"/>
      <c r="C29" s="2"/>
      <c r="D29" s="2"/>
      <c r="E29" s="2"/>
      <c r="F29" s="3"/>
      <c r="G29" s="3"/>
      <c r="H29" s="3"/>
      <c r="I29" s="3"/>
      <c r="J29" s="3"/>
      <c r="K29" s="3"/>
    </row>
    <row r="30" spans="1:11">
      <c r="A30" s="2">
        <v>102428</v>
      </c>
      <c r="B30" s="2"/>
      <c r="C30" s="2"/>
      <c r="D30" s="2"/>
      <c r="E30" s="2"/>
      <c r="F30" s="3"/>
      <c r="G30" s="3"/>
      <c r="H30" s="3"/>
      <c r="I30" s="3"/>
      <c r="J30" s="3"/>
      <c r="K30" s="3"/>
    </row>
    <row r="31" spans="1:11">
      <c r="A31" s="2">
        <v>102429</v>
      </c>
      <c r="B31" s="2"/>
      <c r="C31" s="2"/>
      <c r="D31" s="2"/>
      <c r="E31" s="2"/>
      <c r="F31" s="3"/>
      <c r="G31" s="3"/>
      <c r="H31" s="3"/>
      <c r="I31" s="3"/>
      <c r="J31" s="3"/>
      <c r="K31" s="3"/>
    </row>
    <row r="32" spans="1:11">
      <c r="A32" s="2">
        <v>102430</v>
      </c>
      <c r="B32" s="2"/>
      <c r="C32" s="2"/>
      <c r="D32" s="2"/>
      <c r="E32" s="2"/>
      <c r="F32" s="3"/>
      <c r="G32" s="3"/>
      <c r="H32" s="3"/>
      <c r="I32" s="3"/>
      <c r="J32" s="3"/>
      <c r="K32" s="3"/>
    </row>
    <row r="33" spans="1:11">
      <c r="A33" s="2">
        <v>102431</v>
      </c>
      <c r="B33" s="2"/>
      <c r="C33" s="2"/>
      <c r="D33" s="2"/>
      <c r="E33" s="2"/>
      <c r="F33" s="3"/>
      <c r="G33" s="3"/>
      <c r="H33" s="3"/>
      <c r="I33" s="3"/>
      <c r="J33" s="3"/>
      <c r="K33" s="3"/>
    </row>
    <row r="34" spans="1:11">
      <c r="A34" s="2">
        <v>102432</v>
      </c>
      <c r="B34" s="2"/>
      <c r="C34" s="2"/>
      <c r="D34" s="2"/>
      <c r="E34" s="2"/>
      <c r="F34" s="3"/>
      <c r="G34" s="3"/>
      <c r="H34" s="3"/>
      <c r="I34" s="3"/>
      <c r="J34" s="3"/>
      <c r="K34" s="3"/>
    </row>
    <row r="35" spans="1:11">
      <c r="A35" s="2">
        <v>102433</v>
      </c>
      <c r="B35" s="2"/>
      <c r="C35" s="2"/>
      <c r="D35" s="2"/>
      <c r="E35" s="2"/>
      <c r="F35" s="3"/>
      <c r="G35" s="3"/>
      <c r="H35" s="3"/>
      <c r="I35" s="3"/>
      <c r="J35" s="3"/>
      <c r="K35" s="3"/>
    </row>
    <row r="36" spans="1:11">
      <c r="A36" s="2">
        <v>102434</v>
      </c>
      <c r="B36" s="2"/>
      <c r="C36" s="2"/>
      <c r="D36" s="2"/>
      <c r="E36" s="2"/>
      <c r="F36" s="3"/>
      <c r="G36" s="3"/>
      <c r="H36" s="3"/>
      <c r="I36" s="3"/>
      <c r="J36" s="3"/>
      <c r="K36" s="3"/>
    </row>
    <row r="37" spans="1:11">
      <c r="A37" s="2">
        <v>102435</v>
      </c>
      <c r="B37" s="2"/>
      <c r="C37" s="2"/>
      <c r="D37" s="2"/>
      <c r="E37" s="2"/>
      <c r="F37" s="3"/>
      <c r="G37" s="3"/>
      <c r="H37" s="3"/>
      <c r="I37" s="3"/>
      <c r="J37" s="3"/>
      <c r="K37" s="3"/>
    </row>
    <row r="38" spans="1:11">
      <c r="A38" s="2">
        <v>102436</v>
      </c>
      <c r="B38" s="2"/>
      <c r="C38" s="2"/>
      <c r="D38" s="2"/>
      <c r="E38" s="2"/>
      <c r="F38" s="3"/>
      <c r="G38" s="3"/>
      <c r="H38" s="3"/>
      <c r="I38" s="3"/>
      <c r="J38" s="3"/>
      <c r="K38" s="3"/>
    </row>
    <row r="39" spans="1:11">
      <c r="A39" s="2">
        <v>102437</v>
      </c>
      <c r="B39" s="2"/>
      <c r="C39" s="2"/>
      <c r="D39" s="2"/>
      <c r="E39" s="2"/>
      <c r="F39" s="3"/>
      <c r="G39" s="3"/>
      <c r="H39" s="3"/>
      <c r="I39" s="3"/>
      <c r="J39" s="3"/>
      <c r="K39" s="3"/>
    </row>
    <row r="40" spans="1:11">
      <c r="A40" s="2">
        <v>102438</v>
      </c>
      <c r="B40" s="2"/>
      <c r="C40" s="2"/>
      <c r="D40" s="2"/>
      <c r="E40" s="2"/>
      <c r="F40" s="3"/>
      <c r="G40" s="3"/>
      <c r="H40" s="3"/>
      <c r="I40" s="3"/>
      <c r="J40" s="3"/>
      <c r="K40" s="3"/>
    </row>
    <row r="41" spans="1:11">
      <c r="A41" s="2">
        <v>102439</v>
      </c>
      <c r="B41" s="2"/>
      <c r="C41" s="2"/>
      <c r="D41" s="2"/>
      <c r="E41" s="2"/>
      <c r="F41" s="3"/>
      <c r="G41" s="3"/>
      <c r="H41" s="3"/>
      <c r="I41" s="3"/>
      <c r="J41" s="3"/>
      <c r="K41" s="3"/>
    </row>
    <row r="42" spans="1:11">
      <c r="A42" s="2">
        <v>102440</v>
      </c>
      <c r="B42" s="2"/>
      <c r="C42" s="2"/>
      <c r="D42" s="2"/>
      <c r="E42" s="2"/>
      <c r="F42" s="3"/>
      <c r="G42" s="3"/>
      <c r="H42" s="3"/>
      <c r="I42" s="3"/>
      <c r="J42" s="3"/>
      <c r="K42" s="3"/>
    </row>
    <row r="43" spans="1:11">
      <c r="A43" s="2">
        <v>102441</v>
      </c>
      <c r="B43" s="2"/>
      <c r="C43" s="2"/>
      <c r="D43" s="2"/>
      <c r="E43" s="2"/>
      <c r="F43" s="3"/>
      <c r="G43" s="3"/>
      <c r="H43" s="3"/>
      <c r="I43" s="3"/>
      <c r="J43" s="3"/>
      <c r="K43" s="3"/>
    </row>
    <row r="44" spans="1:11">
      <c r="A44" s="2">
        <v>102442</v>
      </c>
      <c r="B44" s="2"/>
      <c r="C44" s="2"/>
      <c r="D44" s="2"/>
      <c r="E44" s="2"/>
      <c r="F44" s="3"/>
      <c r="G44" s="3"/>
      <c r="H44" s="3"/>
      <c r="I44" s="3"/>
      <c r="J44" s="3"/>
      <c r="K44" s="3"/>
    </row>
    <row r="45" spans="1:11">
      <c r="A45" s="2">
        <v>102443</v>
      </c>
      <c r="B45" s="2"/>
      <c r="C45" s="2"/>
      <c r="D45" s="2"/>
      <c r="E45" s="2"/>
      <c r="F45" s="3"/>
      <c r="G45" s="3"/>
      <c r="H45" s="3"/>
      <c r="I45" s="3"/>
      <c r="J45" s="3"/>
      <c r="K45" s="3"/>
    </row>
    <row r="46" spans="1:11">
      <c r="A46" s="2">
        <v>102444</v>
      </c>
      <c r="B46" s="2"/>
      <c r="C46" s="2"/>
      <c r="D46" s="2"/>
      <c r="E46" s="2"/>
      <c r="F46" s="3"/>
      <c r="G46" s="3"/>
      <c r="H46" s="3"/>
      <c r="I46" s="3"/>
      <c r="J46" s="3"/>
      <c r="K46" s="3"/>
    </row>
    <row r="47" spans="1:11">
      <c r="A47" s="2">
        <v>102445</v>
      </c>
      <c r="B47" s="2"/>
      <c r="C47" s="2"/>
      <c r="D47" s="2"/>
      <c r="E47" s="2"/>
      <c r="F47" s="3"/>
      <c r="G47" s="3"/>
      <c r="H47" s="3"/>
      <c r="I47" s="3"/>
      <c r="J47" s="3"/>
      <c r="K47" s="3"/>
    </row>
    <row r="48" spans="1:11">
      <c r="A48" s="2">
        <v>102446</v>
      </c>
      <c r="B48" s="2"/>
      <c r="C48" s="2"/>
      <c r="D48" s="2"/>
      <c r="E48" s="2"/>
      <c r="F48" s="3"/>
      <c r="G48" s="3"/>
      <c r="H48" s="3"/>
      <c r="I48" s="3"/>
      <c r="J48" s="3"/>
      <c r="K48" s="3"/>
    </row>
    <row r="49" spans="1:11">
      <c r="A49" s="2">
        <v>102447</v>
      </c>
      <c r="B49" s="2"/>
      <c r="C49" s="2"/>
      <c r="D49" s="2"/>
      <c r="E49" s="2"/>
      <c r="F49" s="3"/>
      <c r="G49" s="3"/>
      <c r="H49" s="3"/>
      <c r="I49" s="3"/>
      <c r="J49" s="3"/>
      <c r="K49" s="3"/>
    </row>
    <row r="50" spans="1:11">
      <c r="A50" s="2">
        <v>102448</v>
      </c>
      <c r="B50" s="2"/>
      <c r="C50" s="2"/>
      <c r="D50" s="2"/>
      <c r="E50" s="2"/>
      <c r="F50" s="3"/>
      <c r="G50" s="3"/>
      <c r="H50" s="3"/>
      <c r="I50" s="3"/>
      <c r="J50" s="3"/>
      <c r="K50" s="3"/>
    </row>
    <row r="51" spans="1:11">
      <c r="A51" s="2">
        <v>102449</v>
      </c>
      <c r="B51" s="2"/>
      <c r="C51" s="2"/>
      <c r="D51" s="2"/>
      <c r="E51" s="2"/>
      <c r="F51" s="3"/>
      <c r="G51" s="3"/>
      <c r="H51" s="3"/>
      <c r="I51" s="3"/>
      <c r="J51" s="3"/>
      <c r="K51" s="3"/>
    </row>
    <row r="52" spans="1:11">
      <c r="A52" s="2">
        <v>102450</v>
      </c>
      <c r="B52" s="2"/>
      <c r="C52" s="2"/>
      <c r="D52" s="2"/>
      <c r="E52" s="2"/>
      <c r="F52" s="3"/>
      <c r="G52" s="3"/>
      <c r="H52" s="3"/>
      <c r="I52" s="3"/>
      <c r="J52" s="3"/>
      <c r="K52" s="3"/>
    </row>
    <row r="53" spans="1:11">
      <c r="A53" s="2">
        <v>102451</v>
      </c>
      <c r="B53" s="2"/>
      <c r="C53" s="2"/>
      <c r="D53" s="2"/>
      <c r="E53" s="2"/>
      <c r="F53" s="3"/>
      <c r="G53" s="3"/>
      <c r="H53" s="3"/>
      <c r="I53" s="3"/>
      <c r="J53" s="3"/>
      <c r="K53" s="3"/>
    </row>
    <row r="54" spans="1:11">
      <c r="A54" s="2">
        <v>102452</v>
      </c>
      <c r="B54" s="2"/>
      <c r="C54" s="2"/>
      <c r="D54" s="2"/>
      <c r="E54" s="2"/>
      <c r="F54" s="3"/>
      <c r="G54" s="3"/>
      <c r="H54" s="3"/>
      <c r="I54" s="3"/>
      <c r="J54" s="3"/>
      <c r="K54" s="3"/>
    </row>
    <row r="55" spans="1:11">
      <c r="A55" s="2">
        <v>102453</v>
      </c>
    </row>
    <row r="56" spans="1:11">
      <c r="A56" s="2">
        <v>102454</v>
      </c>
    </row>
    <row r="57" spans="1:11">
      <c r="A57" s="2">
        <v>102455</v>
      </c>
    </row>
    <row r="58" spans="1:11">
      <c r="A58" s="2">
        <v>102456</v>
      </c>
    </row>
    <row r="59" spans="1:11">
      <c r="A59" s="2">
        <v>102457</v>
      </c>
    </row>
    <row r="60" spans="1:11">
      <c r="A60" s="2">
        <v>102458</v>
      </c>
    </row>
    <row r="61" spans="1:11">
      <c r="A61" s="2">
        <v>102459</v>
      </c>
    </row>
    <row r="62" spans="1:11">
      <c r="A62" s="2">
        <v>102460</v>
      </c>
    </row>
    <row r="63" spans="1:11">
      <c r="A63" s="2">
        <v>102461</v>
      </c>
    </row>
    <row r="64" spans="1:11">
      <c r="A64" s="2">
        <v>102462</v>
      </c>
    </row>
    <row r="65" spans="1:1">
      <c r="A65" s="2">
        <v>102463</v>
      </c>
    </row>
    <row r="66" spans="1:1">
      <c r="A66" s="2">
        <v>102464</v>
      </c>
    </row>
    <row r="67" spans="1:1">
      <c r="A67" s="2">
        <v>102465</v>
      </c>
    </row>
    <row r="68" spans="1:1">
      <c r="A68" s="2">
        <v>102466</v>
      </c>
    </row>
    <row r="69" spans="1:1">
      <c r="A69" s="2">
        <v>102467</v>
      </c>
    </row>
    <row r="70" spans="1:1">
      <c r="A70" s="2">
        <v>102468</v>
      </c>
    </row>
    <row r="71" spans="1:1">
      <c r="A71" s="2">
        <v>102469</v>
      </c>
    </row>
    <row r="72" spans="1:1">
      <c r="A72" s="2">
        <v>102470</v>
      </c>
    </row>
    <row r="73" spans="1:1">
      <c r="A73" s="2">
        <v>102471</v>
      </c>
    </row>
    <row r="74" spans="1:1">
      <c r="A74" s="2">
        <v>102472</v>
      </c>
    </row>
    <row r="75" spans="1:1">
      <c r="A75" s="2">
        <v>102473</v>
      </c>
    </row>
    <row r="76" spans="1:1">
      <c r="A76" s="2">
        <v>102474</v>
      </c>
    </row>
    <row r="77" spans="1:1">
      <c r="A77" s="2">
        <v>102475</v>
      </c>
    </row>
    <row r="78" spans="1:1">
      <c r="A78" s="2">
        <v>102476</v>
      </c>
    </row>
    <row r="79" spans="1:1">
      <c r="A79" s="2">
        <v>102477</v>
      </c>
    </row>
    <row r="80" spans="1:1">
      <c r="A80" s="2">
        <v>102478</v>
      </c>
    </row>
    <row r="81" spans="1:1">
      <c r="A81" s="2">
        <v>102479</v>
      </c>
    </row>
    <row r="82" spans="1:1">
      <c r="A82" s="2">
        <v>102480</v>
      </c>
    </row>
    <row r="83" spans="1:1">
      <c r="A83" s="2">
        <v>102481</v>
      </c>
    </row>
    <row r="84" spans="1:1">
      <c r="A84" s="2">
        <v>102482</v>
      </c>
    </row>
    <row r="85" spans="1:1">
      <c r="A85" s="2">
        <v>102483</v>
      </c>
    </row>
    <row r="86" spans="1:1">
      <c r="A86" s="2">
        <v>102484</v>
      </c>
    </row>
    <row r="87" spans="1:1">
      <c r="A87" s="2">
        <v>102485</v>
      </c>
    </row>
    <row r="88" spans="1:1">
      <c r="A88" s="2">
        <v>102486</v>
      </c>
    </row>
    <row r="89" spans="1:1">
      <c r="A89" s="2">
        <v>102487</v>
      </c>
    </row>
    <row r="90" spans="1:1">
      <c r="A90" s="2">
        <v>102488</v>
      </c>
    </row>
    <row r="91" spans="1:1">
      <c r="A91" s="2">
        <v>102489</v>
      </c>
    </row>
    <row r="92" spans="1:1">
      <c r="A92" s="2">
        <v>102490</v>
      </c>
    </row>
    <row r="93" spans="1:1">
      <c r="A93" s="2">
        <v>102491</v>
      </c>
    </row>
    <row r="94" spans="1:1">
      <c r="A94" s="2">
        <v>102492</v>
      </c>
    </row>
    <row r="95" spans="1:1">
      <c r="A95" s="2">
        <v>102493</v>
      </c>
    </row>
    <row r="96" spans="1:1">
      <c r="A96" s="2">
        <v>102494</v>
      </c>
    </row>
    <row r="97" spans="1:1">
      <c r="A97" s="2">
        <v>102495</v>
      </c>
    </row>
    <row r="98" spans="1:1">
      <c r="A98" s="2">
        <v>102496</v>
      </c>
    </row>
    <row r="99" spans="1:1">
      <c r="A99" s="2">
        <v>102497</v>
      </c>
    </row>
    <row r="100" spans="1:1">
      <c r="A100" s="2">
        <v>102498</v>
      </c>
    </row>
    <row r="101" spans="1:1">
      <c r="A101" s="2">
        <v>102499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42">
    <tabColor theme="1"/>
  </sheetPr>
  <dimension ref="A1:K201"/>
  <sheetViews>
    <sheetView workbookViewId="0">
      <pane xSplit="2" ySplit="2" topLeftCell="C3" activePane="bottomRight" state="frozen"/>
      <selection activeCell="G38" sqref="G38:G39"/>
      <selection pane="topRight" activeCell="G38" sqref="G38:G39"/>
      <selection pane="bottomLeft" activeCell="G38" sqref="G38:G39"/>
      <selection pane="bottomRight" activeCell="E16" sqref="E16"/>
    </sheetView>
  </sheetViews>
  <sheetFormatPr defaultColWidth="11.453125" defaultRowHeight="12.5" outlineLevelCol="1"/>
  <cols>
    <col min="3" max="5" width="11.453125" customWidth="1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102600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>
        <v>102601</v>
      </c>
      <c r="B3" s="5"/>
      <c r="C3" s="8" t="s">
        <v>2</v>
      </c>
      <c r="D3" s="2" t="s">
        <v>2</v>
      </c>
      <c r="E3" s="2" t="s">
        <v>2</v>
      </c>
      <c r="F3" s="6" t="s">
        <v>321</v>
      </c>
      <c r="G3" s="6" t="s">
        <v>425</v>
      </c>
      <c r="H3" s="6" t="s">
        <v>322</v>
      </c>
      <c r="I3" s="7" t="s">
        <v>422</v>
      </c>
      <c r="J3" s="7" t="s">
        <v>423</v>
      </c>
      <c r="K3" s="7" t="s">
        <v>424</v>
      </c>
    </row>
    <row r="4" spans="1:11">
      <c r="A4" s="2">
        <v>102602</v>
      </c>
      <c r="B4" s="2">
        <v>1</v>
      </c>
      <c r="C4" s="2">
        <v>4</v>
      </c>
      <c r="D4" s="2">
        <f>VLOOKUP($C4,DEFINES!$A$2:$C$10,2,)</f>
        <v>3</v>
      </c>
      <c r="E4" s="2">
        <f>VLOOKUP($C4,DEFINES!$A$2:$C$10,3,)</f>
        <v>0</v>
      </c>
      <c r="F4" s="6" t="s">
        <v>246</v>
      </c>
      <c r="G4" s="6" t="s">
        <v>427</v>
      </c>
      <c r="H4" s="6" t="s">
        <v>427</v>
      </c>
      <c r="I4" s="6" t="s">
        <v>40</v>
      </c>
      <c r="J4" s="6" t="s">
        <v>41</v>
      </c>
      <c r="K4" s="6" t="s">
        <v>42</v>
      </c>
    </row>
    <row r="5" spans="1:11">
      <c r="A5" s="2">
        <v>102603</v>
      </c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3" t="s">
        <v>245</v>
      </c>
      <c r="G5" s="3" t="s">
        <v>428</v>
      </c>
      <c r="H5" s="3" t="s">
        <v>428</v>
      </c>
      <c r="I5" s="6" t="s">
        <v>40</v>
      </c>
      <c r="J5" s="6" t="s">
        <v>41</v>
      </c>
      <c r="K5" s="6" t="s">
        <v>42</v>
      </c>
    </row>
    <row r="6" spans="1:11">
      <c r="A6" s="2">
        <v>102604</v>
      </c>
      <c r="B6" s="2">
        <v>3</v>
      </c>
      <c r="C6" s="2">
        <v>2</v>
      </c>
      <c r="D6" s="2">
        <f>VLOOKUP($C6,DEFINES!$A$2:$C$10,2,)</f>
        <v>3</v>
      </c>
      <c r="E6" s="2">
        <f>VLOOKUP($C6,DEFINES!$A$2:$C$10,3,)</f>
        <v>0</v>
      </c>
      <c r="F6" s="3" t="s">
        <v>426</v>
      </c>
      <c r="G6" s="3" t="s">
        <v>429</v>
      </c>
      <c r="H6" s="3" t="s">
        <v>429</v>
      </c>
      <c r="I6" s="6" t="s">
        <v>40</v>
      </c>
      <c r="J6" s="6" t="s">
        <v>41</v>
      </c>
      <c r="K6" s="6" t="s">
        <v>42</v>
      </c>
    </row>
    <row r="7" spans="1:11">
      <c r="A7" s="2">
        <v>102605</v>
      </c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6" t="s">
        <v>323</v>
      </c>
      <c r="G7" s="6" t="s">
        <v>323</v>
      </c>
      <c r="H7" s="6" t="s">
        <v>323</v>
      </c>
      <c r="I7" s="6" t="s">
        <v>40</v>
      </c>
      <c r="J7" s="6" t="s">
        <v>41</v>
      </c>
      <c r="K7" s="6" t="s">
        <v>42</v>
      </c>
    </row>
    <row r="8" spans="1:11">
      <c r="A8" s="2">
        <v>102606</v>
      </c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6" t="s">
        <v>324</v>
      </c>
      <c r="G8" s="6" t="s">
        <v>324</v>
      </c>
      <c r="H8" s="6" t="s">
        <v>324</v>
      </c>
      <c r="I8" s="6" t="s">
        <v>40</v>
      </c>
      <c r="J8" s="6" t="s">
        <v>41</v>
      </c>
      <c r="K8" s="6" t="s">
        <v>42</v>
      </c>
    </row>
    <row r="9" spans="1:11">
      <c r="A9" s="2">
        <v>102607</v>
      </c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6" t="s">
        <v>325</v>
      </c>
      <c r="G9" s="6" t="s">
        <v>325</v>
      </c>
      <c r="H9" s="6" t="s">
        <v>325</v>
      </c>
      <c r="I9" s="6" t="s">
        <v>40</v>
      </c>
      <c r="J9" s="6" t="s">
        <v>41</v>
      </c>
      <c r="K9" s="6" t="s">
        <v>42</v>
      </c>
    </row>
    <row r="10" spans="1:11">
      <c r="A10" s="2">
        <v>102608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6" t="s">
        <v>326</v>
      </c>
      <c r="G10" s="6" t="s">
        <v>326</v>
      </c>
      <c r="H10" s="6" t="s">
        <v>326</v>
      </c>
      <c r="I10" s="6" t="s">
        <v>40</v>
      </c>
      <c r="J10" s="6" t="s">
        <v>41</v>
      </c>
      <c r="K10" s="6" t="s">
        <v>42</v>
      </c>
    </row>
    <row r="11" spans="1:11">
      <c r="A11" s="2">
        <v>102609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6" t="s">
        <v>327</v>
      </c>
      <c r="G11" s="6" t="s">
        <v>327</v>
      </c>
      <c r="H11" s="6" t="s">
        <v>327</v>
      </c>
      <c r="I11" s="6" t="s">
        <v>40</v>
      </c>
      <c r="J11" s="6" t="s">
        <v>41</v>
      </c>
      <c r="K11" s="6" t="s">
        <v>42</v>
      </c>
    </row>
    <row r="12" spans="1:11">
      <c r="A12" s="2">
        <v>102610</v>
      </c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6" t="s">
        <v>43</v>
      </c>
      <c r="G12" s="6" t="s">
        <v>243</v>
      </c>
      <c r="H12" s="6" t="s">
        <v>243</v>
      </c>
      <c r="I12" s="6" t="s">
        <v>40</v>
      </c>
      <c r="J12" s="6" t="s">
        <v>41</v>
      </c>
      <c r="K12" s="6" t="s">
        <v>42</v>
      </c>
    </row>
    <row r="13" spans="1:11">
      <c r="A13" s="2">
        <v>102611</v>
      </c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6" t="s">
        <v>328</v>
      </c>
      <c r="G13" s="6" t="s">
        <v>242</v>
      </c>
      <c r="H13" s="6" t="s">
        <v>242</v>
      </c>
      <c r="I13" s="6" t="s">
        <v>40</v>
      </c>
      <c r="J13" s="6" t="s">
        <v>41</v>
      </c>
      <c r="K13" s="6" t="s">
        <v>42</v>
      </c>
    </row>
    <row r="14" spans="1:11">
      <c r="A14" s="2">
        <v>102612</v>
      </c>
      <c r="B14" s="10"/>
      <c r="C14" s="10"/>
      <c r="D14" s="10"/>
      <c r="E14" s="10"/>
      <c r="F14" s="11"/>
      <c r="G14" s="11"/>
      <c r="H14" s="11"/>
      <c r="I14" s="11"/>
      <c r="J14" s="11"/>
      <c r="K14" s="11"/>
    </row>
    <row r="15" spans="1:11">
      <c r="A15" s="2">
        <v>102613</v>
      </c>
      <c r="B15" s="2"/>
      <c r="C15" s="2"/>
      <c r="D15" s="2"/>
      <c r="E15" s="2"/>
      <c r="F15" s="6"/>
      <c r="G15" s="6"/>
      <c r="H15" s="6"/>
      <c r="I15" s="6"/>
      <c r="J15" s="6"/>
      <c r="K15" s="6"/>
    </row>
    <row r="16" spans="1:11">
      <c r="A16" s="2">
        <v>102614</v>
      </c>
      <c r="B16" s="2"/>
      <c r="C16" s="2"/>
      <c r="D16" s="2"/>
      <c r="E16" s="2"/>
      <c r="F16" s="6"/>
      <c r="G16" s="6"/>
      <c r="H16" s="6"/>
      <c r="I16" s="6"/>
      <c r="J16" s="6"/>
      <c r="K16" s="6"/>
    </row>
    <row r="17" spans="1:11">
      <c r="A17" s="2">
        <v>102615</v>
      </c>
      <c r="B17" s="2"/>
      <c r="C17" s="2"/>
      <c r="D17" s="2"/>
      <c r="E17" s="2"/>
      <c r="F17" s="6"/>
      <c r="G17" s="6"/>
      <c r="H17" s="6"/>
      <c r="I17" s="6"/>
      <c r="J17" s="6"/>
      <c r="K17" s="6"/>
    </row>
    <row r="18" spans="1:11">
      <c r="A18" s="2">
        <v>102616</v>
      </c>
      <c r="B18" s="2"/>
      <c r="C18" s="2"/>
      <c r="D18" s="2"/>
      <c r="E18" s="2"/>
      <c r="F18" s="6"/>
      <c r="G18" s="6"/>
      <c r="H18" s="6"/>
      <c r="I18" s="6"/>
      <c r="J18" s="6"/>
      <c r="K18" s="6"/>
    </row>
    <row r="19" spans="1:11">
      <c r="A19" s="2">
        <v>102617</v>
      </c>
      <c r="B19" s="2"/>
      <c r="C19" s="2"/>
      <c r="D19" s="2"/>
      <c r="E19" s="2"/>
      <c r="F19" s="6"/>
      <c r="G19" s="6"/>
      <c r="H19" s="6"/>
      <c r="I19" s="6"/>
      <c r="J19" s="6"/>
      <c r="K19" s="6"/>
    </row>
    <row r="20" spans="1:11">
      <c r="A20" s="2">
        <v>102618</v>
      </c>
      <c r="B20" s="2"/>
      <c r="C20" s="2"/>
      <c r="D20" s="2"/>
      <c r="E20" s="2"/>
      <c r="F20" s="6"/>
      <c r="G20" s="6"/>
      <c r="H20" s="6"/>
      <c r="I20" s="6"/>
      <c r="J20" s="6"/>
      <c r="K20" s="6"/>
    </row>
    <row r="21" spans="1:11">
      <c r="A21" s="2">
        <v>102619</v>
      </c>
      <c r="B21" s="2"/>
      <c r="C21" s="2"/>
      <c r="D21" s="2"/>
      <c r="E21" s="2"/>
      <c r="F21" s="6"/>
      <c r="G21" s="6"/>
      <c r="H21" s="6"/>
      <c r="I21" s="6"/>
      <c r="J21" s="6"/>
      <c r="K21" s="6"/>
    </row>
    <row r="22" spans="1:11">
      <c r="A22" s="2">
        <v>102620</v>
      </c>
      <c r="B22" s="2"/>
      <c r="C22" s="2"/>
      <c r="D22" s="2"/>
      <c r="E22" s="2"/>
      <c r="F22" s="6"/>
      <c r="G22" s="6"/>
      <c r="H22" s="6"/>
      <c r="I22" s="6"/>
      <c r="J22" s="6"/>
      <c r="K22" s="6"/>
    </row>
    <row r="23" spans="1:11">
      <c r="A23" s="2">
        <v>102621</v>
      </c>
      <c r="B23" s="2"/>
      <c r="C23" s="2"/>
      <c r="D23" s="2"/>
      <c r="E23" s="2"/>
      <c r="F23" s="6"/>
      <c r="G23" s="6"/>
      <c r="H23" s="6"/>
      <c r="I23" s="6"/>
      <c r="J23" s="6"/>
      <c r="K23" s="6"/>
    </row>
    <row r="24" spans="1:11">
      <c r="A24" s="2">
        <v>102622</v>
      </c>
      <c r="B24" s="2"/>
      <c r="C24" s="2"/>
      <c r="D24" s="2"/>
      <c r="E24" s="2"/>
      <c r="F24" s="6"/>
      <c r="G24" s="6"/>
      <c r="H24" s="6"/>
      <c r="I24" s="6"/>
      <c r="J24" s="6"/>
      <c r="K24" s="6"/>
    </row>
    <row r="25" spans="1:11">
      <c r="A25" s="2">
        <v>102623</v>
      </c>
      <c r="B25" s="2"/>
      <c r="C25" s="2"/>
      <c r="D25" s="2"/>
      <c r="E25" s="2"/>
      <c r="F25" s="6"/>
      <c r="G25" s="6"/>
      <c r="H25" s="6"/>
      <c r="I25" s="6"/>
      <c r="J25" s="6"/>
      <c r="K25" s="6"/>
    </row>
    <row r="26" spans="1:11">
      <c r="A26" s="2">
        <v>102624</v>
      </c>
      <c r="B26" s="2"/>
      <c r="C26" s="2"/>
      <c r="D26" s="2"/>
      <c r="E26" s="2"/>
      <c r="F26" s="6"/>
      <c r="G26" s="6"/>
      <c r="H26" s="6"/>
      <c r="I26" s="6"/>
      <c r="J26" s="6"/>
      <c r="K26" s="6"/>
    </row>
    <row r="27" spans="1:11">
      <c r="A27" s="2">
        <v>102625</v>
      </c>
      <c r="B27" s="2"/>
      <c r="C27" s="2"/>
      <c r="D27" s="2"/>
      <c r="E27" s="2"/>
      <c r="F27" s="6"/>
      <c r="G27" s="6"/>
      <c r="H27" s="6"/>
      <c r="I27" s="6"/>
      <c r="J27" s="6"/>
      <c r="K27" s="6"/>
    </row>
    <row r="28" spans="1:11">
      <c r="A28" s="2">
        <v>102626</v>
      </c>
      <c r="B28" s="2"/>
      <c r="C28" s="2"/>
      <c r="D28" s="2"/>
      <c r="E28" s="2"/>
      <c r="F28" s="6"/>
      <c r="G28" s="6"/>
      <c r="H28" s="6"/>
      <c r="I28" s="6"/>
      <c r="J28" s="6"/>
      <c r="K28" s="6"/>
    </row>
    <row r="29" spans="1:11">
      <c r="A29" s="2">
        <v>102627</v>
      </c>
      <c r="B29" s="2"/>
      <c r="C29" s="2"/>
      <c r="D29" s="2"/>
      <c r="E29" s="2"/>
      <c r="F29" s="6"/>
      <c r="G29" s="6"/>
      <c r="H29" s="6"/>
      <c r="I29" s="6"/>
      <c r="J29" s="6"/>
      <c r="K29" s="6"/>
    </row>
    <row r="30" spans="1:11">
      <c r="A30" s="2">
        <v>102628</v>
      </c>
      <c r="B30" s="2"/>
      <c r="C30" s="2"/>
      <c r="D30" s="2"/>
      <c r="E30" s="2"/>
      <c r="F30" s="6"/>
      <c r="G30" s="6"/>
      <c r="H30" s="6"/>
      <c r="I30" s="6"/>
      <c r="J30" s="6"/>
      <c r="K30" s="6"/>
    </row>
    <row r="31" spans="1:11">
      <c r="A31" s="2">
        <v>102629</v>
      </c>
      <c r="B31" s="2"/>
      <c r="C31" s="2"/>
      <c r="D31" s="2"/>
      <c r="E31" s="2"/>
      <c r="F31" s="6"/>
      <c r="G31" s="6"/>
      <c r="H31" s="6"/>
      <c r="I31" s="6"/>
      <c r="J31" s="6"/>
      <c r="K31" s="6"/>
    </row>
    <row r="32" spans="1:11">
      <c r="A32" s="2">
        <v>102630</v>
      </c>
      <c r="B32" s="2"/>
      <c r="C32" s="2"/>
      <c r="D32" s="2"/>
      <c r="E32" s="2"/>
      <c r="F32" s="6"/>
      <c r="G32" s="6"/>
      <c r="H32" s="6"/>
      <c r="I32" s="6"/>
      <c r="J32" s="6"/>
      <c r="K32" s="6"/>
    </row>
    <row r="33" spans="1:11">
      <c r="A33" s="2">
        <v>102631</v>
      </c>
      <c r="B33" s="2"/>
      <c r="C33" s="2"/>
      <c r="D33" s="2"/>
      <c r="E33" s="2"/>
      <c r="F33" s="6"/>
      <c r="G33" s="6"/>
      <c r="H33" s="6"/>
      <c r="I33" s="6"/>
      <c r="J33" s="6"/>
      <c r="K33" s="6"/>
    </row>
    <row r="34" spans="1:11">
      <c r="A34" s="2">
        <v>102632</v>
      </c>
      <c r="B34" s="2"/>
      <c r="C34" s="2"/>
      <c r="D34" s="2"/>
      <c r="E34" s="2"/>
      <c r="F34" s="6"/>
      <c r="G34" s="6"/>
      <c r="H34" s="6"/>
      <c r="I34" s="6"/>
      <c r="J34" s="6"/>
      <c r="K34" s="6"/>
    </row>
    <row r="35" spans="1:11">
      <c r="A35" s="2">
        <v>102633</v>
      </c>
      <c r="B35" s="2"/>
      <c r="C35" s="2"/>
      <c r="D35" s="2"/>
      <c r="E35" s="2"/>
      <c r="F35" s="6"/>
      <c r="G35" s="6"/>
      <c r="H35" s="6"/>
      <c r="I35" s="6"/>
      <c r="J35" s="6"/>
      <c r="K35" s="6"/>
    </row>
    <row r="36" spans="1:11">
      <c r="A36" s="2">
        <v>102634</v>
      </c>
      <c r="B36" s="2"/>
      <c r="C36" s="2"/>
      <c r="D36" s="2"/>
      <c r="E36" s="2"/>
      <c r="F36" s="6"/>
      <c r="G36" s="6"/>
      <c r="H36" s="6"/>
      <c r="I36" s="6"/>
      <c r="J36" s="6"/>
      <c r="K36" s="6"/>
    </row>
    <row r="37" spans="1:11">
      <c r="A37" s="2">
        <v>102635</v>
      </c>
      <c r="B37" s="2"/>
      <c r="C37" s="2"/>
      <c r="D37" s="2"/>
      <c r="E37" s="2"/>
      <c r="F37" s="6"/>
      <c r="G37" s="6"/>
      <c r="H37" s="6"/>
      <c r="I37" s="6"/>
      <c r="J37" s="6"/>
      <c r="K37" s="6"/>
    </row>
    <row r="38" spans="1:11">
      <c r="A38" s="2">
        <v>102636</v>
      </c>
      <c r="B38" s="2"/>
      <c r="C38" s="2"/>
      <c r="D38" s="2"/>
      <c r="E38" s="2"/>
      <c r="F38" s="6"/>
      <c r="G38" s="6"/>
      <c r="H38" s="6"/>
      <c r="I38" s="6"/>
      <c r="J38" s="6"/>
      <c r="K38" s="6"/>
    </row>
    <row r="39" spans="1:11">
      <c r="A39" s="2">
        <v>102637</v>
      </c>
      <c r="B39" s="2"/>
      <c r="C39" s="2"/>
      <c r="D39" s="2"/>
      <c r="E39" s="2"/>
      <c r="F39" s="6"/>
      <c r="G39" s="6"/>
      <c r="H39" s="6"/>
      <c r="I39" s="6"/>
      <c r="J39" s="6"/>
      <c r="K39" s="6"/>
    </row>
    <row r="40" spans="1:11">
      <c r="A40" s="2">
        <v>102638</v>
      </c>
      <c r="B40" s="2"/>
      <c r="C40" s="2"/>
      <c r="D40" s="2"/>
      <c r="E40" s="2"/>
      <c r="F40" s="6"/>
      <c r="G40" s="6"/>
      <c r="H40" s="6"/>
      <c r="I40" s="6"/>
      <c r="J40" s="6"/>
      <c r="K40" s="6"/>
    </row>
    <row r="41" spans="1:11">
      <c r="A41" s="2">
        <v>102639</v>
      </c>
      <c r="B41" s="2"/>
      <c r="C41" s="2"/>
      <c r="D41" s="2"/>
      <c r="E41" s="2"/>
      <c r="F41" s="6"/>
      <c r="G41" s="6"/>
      <c r="H41" s="6"/>
      <c r="I41" s="6"/>
      <c r="J41" s="6"/>
      <c r="K41" s="6"/>
    </row>
    <row r="42" spans="1:11">
      <c r="A42" s="2">
        <v>102640</v>
      </c>
      <c r="B42" s="2"/>
      <c r="C42" s="2"/>
      <c r="D42" s="2"/>
      <c r="E42" s="2"/>
      <c r="F42" s="6"/>
      <c r="G42" s="6"/>
      <c r="H42" s="6"/>
      <c r="I42" s="6"/>
      <c r="J42" s="6"/>
      <c r="K42" s="6"/>
    </row>
    <row r="43" spans="1:11">
      <c r="A43" s="2">
        <v>102641</v>
      </c>
      <c r="B43" s="2"/>
      <c r="C43" s="2"/>
      <c r="D43" s="2"/>
      <c r="E43" s="2"/>
      <c r="F43" s="6"/>
      <c r="G43" s="6"/>
      <c r="H43" s="6"/>
      <c r="I43" s="6"/>
      <c r="J43" s="6"/>
      <c r="K43" s="6"/>
    </row>
    <row r="44" spans="1:11">
      <c r="A44" s="2">
        <v>102642</v>
      </c>
      <c r="B44" s="2"/>
      <c r="C44" s="2"/>
      <c r="D44" s="2"/>
      <c r="E44" s="2"/>
      <c r="F44" s="6"/>
      <c r="G44" s="6"/>
      <c r="H44" s="6"/>
      <c r="I44" s="6"/>
      <c r="J44" s="6"/>
      <c r="K44" s="6"/>
    </row>
    <row r="45" spans="1:11">
      <c r="A45" s="2">
        <v>102643</v>
      </c>
      <c r="B45" s="2"/>
      <c r="C45" s="2"/>
      <c r="D45" s="2"/>
      <c r="E45" s="2"/>
      <c r="F45" s="6"/>
      <c r="G45" s="6"/>
      <c r="H45" s="6"/>
      <c r="I45" s="6"/>
      <c r="J45" s="6"/>
      <c r="K45" s="6"/>
    </row>
    <row r="46" spans="1:11">
      <c r="A46" s="2">
        <v>102644</v>
      </c>
      <c r="B46" s="2"/>
      <c r="C46" s="2"/>
      <c r="D46" s="2"/>
      <c r="E46" s="2"/>
      <c r="F46" s="6"/>
      <c r="G46" s="6"/>
      <c r="H46" s="6"/>
      <c r="I46" s="6"/>
      <c r="J46" s="6"/>
      <c r="K46" s="6"/>
    </row>
    <row r="47" spans="1:11">
      <c r="A47" s="2">
        <v>102645</v>
      </c>
      <c r="B47" s="2"/>
      <c r="C47" s="2"/>
      <c r="D47" s="2"/>
      <c r="E47" s="2"/>
      <c r="F47" s="6"/>
      <c r="G47" s="6"/>
      <c r="H47" s="6"/>
      <c r="I47" s="6"/>
      <c r="J47" s="6"/>
      <c r="K47" s="6"/>
    </row>
    <row r="48" spans="1:11">
      <c r="A48" s="2">
        <v>102646</v>
      </c>
      <c r="B48" s="2"/>
      <c r="C48" s="2"/>
      <c r="D48" s="2"/>
      <c r="E48" s="2"/>
      <c r="F48" s="6"/>
      <c r="G48" s="6"/>
      <c r="H48" s="6"/>
      <c r="I48" s="6"/>
      <c r="J48" s="6"/>
      <c r="K48" s="6"/>
    </row>
    <row r="49" spans="1:11">
      <c r="A49" s="2">
        <v>102647</v>
      </c>
      <c r="B49" s="2"/>
      <c r="C49" s="2"/>
      <c r="D49" s="2"/>
      <c r="E49" s="2"/>
      <c r="F49" s="6"/>
      <c r="G49" s="6"/>
      <c r="H49" s="6"/>
      <c r="I49" s="6"/>
      <c r="J49" s="6"/>
      <c r="K49" s="6"/>
    </row>
    <row r="50" spans="1:11">
      <c r="A50" s="2">
        <v>102648</v>
      </c>
      <c r="B50" s="2"/>
      <c r="C50" s="2"/>
      <c r="D50" s="2"/>
      <c r="E50" s="2"/>
      <c r="F50" s="6"/>
      <c r="G50" s="6"/>
      <c r="H50" s="6"/>
      <c r="I50" s="6"/>
      <c r="J50" s="6"/>
      <c r="K50" s="6"/>
    </row>
    <row r="51" spans="1:11">
      <c r="A51" s="2">
        <v>102649</v>
      </c>
      <c r="B51" s="2"/>
      <c r="C51" s="2"/>
      <c r="D51" s="2"/>
      <c r="E51" s="2"/>
      <c r="F51" s="6"/>
      <c r="G51" s="6"/>
      <c r="H51" s="6"/>
      <c r="I51" s="6"/>
      <c r="J51" s="6"/>
      <c r="K51" s="6"/>
    </row>
    <row r="52" spans="1:11">
      <c r="A52" s="2">
        <v>102650</v>
      </c>
      <c r="B52" s="2"/>
      <c r="C52" s="2"/>
      <c r="D52" s="2"/>
      <c r="E52" s="2"/>
      <c r="F52" s="6"/>
      <c r="G52" s="6"/>
      <c r="H52" s="6"/>
      <c r="I52" s="6"/>
      <c r="J52" s="6"/>
      <c r="K52" s="6"/>
    </row>
    <row r="53" spans="1:11">
      <c r="A53" s="2">
        <v>102651</v>
      </c>
      <c r="B53" s="2"/>
      <c r="C53" s="2"/>
      <c r="D53" s="2"/>
      <c r="E53" s="2"/>
      <c r="F53" s="3"/>
      <c r="G53" s="3"/>
      <c r="H53" s="3"/>
      <c r="I53" s="3"/>
      <c r="J53" s="3"/>
      <c r="K53" s="3"/>
    </row>
    <row r="54" spans="1:11">
      <c r="A54" s="2">
        <v>102652</v>
      </c>
      <c r="B54" s="2"/>
      <c r="C54" s="2"/>
      <c r="D54" s="2"/>
      <c r="E54" s="2"/>
      <c r="F54" s="3"/>
      <c r="G54" s="3"/>
      <c r="H54" s="3"/>
      <c r="I54" s="3"/>
      <c r="J54" s="3"/>
      <c r="K54" s="3"/>
    </row>
    <row r="55" spans="1:11">
      <c r="A55" s="2">
        <v>102653</v>
      </c>
    </row>
    <row r="56" spans="1:11">
      <c r="A56" s="2">
        <v>102654</v>
      </c>
    </row>
    <row r="57" spans="1:11">
      <c r="A57" s="2">
        <v>102655</v>
      </c>
    </row>
    <row r="58" spans="1:11">
      <c r="A58" s="2">
        <v>102656</v>
      </c>
    </row>
    <row r="59" spans="1:11">
      <c r="A59" s="2">
        <v>102657</v>
      </c>
    </row>
    <row r="60" spans="1:11">
      <c r="A60" s="2">
        <v>102658</v>
      </c>
    </row>
    <row r="61" spans="1:11">
      <c r="A61" s="2">
        <v>102659</v>
      </c>
    </row>
    <row r="62" spans="1:11">
      <c r="A62" s="2">
        <v>102660</v>
      </c>
    </row>
    <row r="63" spans="1:11">
      <c r="A63" s="2">
        <v>102661</v>
      </c>
    </row>
    <row r="64" spans="1:11">
      <c r="A64" s="2">
        <v>102662</v>
      </c>
    </row>
    <row r="65" spans="1:1">
      <c r="A65" s="2">
        <v>102663</v>
      </c>
    </row>
    <row r="66" spans="1:1">
      <c r="A66" s="2">
        <v>102664</v>
      </c>
    </row>
    <row r="67" spans="1:1">
      <c r="A67" s="2">
        <v>102665</v>
      </c>
    </row>
    <row r="68" spans="1:1">
      <c r="A68" s="2">
        <v>102666</v>
      </c>
    </row>
    <row r="69" spans="1:1">
      <c r="A69" s="2">
        <v>102667</v>
      </c>
    </row>
    <row r="70" spans="1:1">
      <c r="A70" s="2">
        <v>102668</v>
      </c>
    </row>
    <row r="71" spans="1:1">
      <c r="A71" s="2">
        <v>102669</v>
      </c>
    </row>
    <row r="72" spans="1:1">
      <c r="A72" s="2">
        <v>102670</v>
      </c>
    </row>
    <row r="73" spans="1:1">
      <c r="A73" s="2">
        <v>102671</v>
      </c>
    </row>
    <row r="74" spans="1:1">
      <c r="A74" s="2">
        <v>102672</v>
      </c>
    </row>
    <row r="75" spans="1:1">
      <c r="A75" s="2">
        <v>102673</v>
      </c>
    </row>
    <row r="76" spans="1:1">
      <c r="A76" s="2">
        <v>102674</v>
      </c>
    </row>
    <row r="77" spans="1:1">
      <c r="A77" s="2">
        <v>102675</v>
      </c>
    </row>
    <row r="78" spans="1:1">
      <c r="A78" s="2">
        <v>102676</v>
      </c>
    </row>
    <row r="79" spans="1:1">
      <c r="A79" s="2">
        <v>102677</v>
      </c>
    </row>
    <row r="80" spans="1:1">
      <c r="A80" s="2">
        <v>102678</v>
      </c>
    </row>
    <row r="81" spans="1:1">
      <c r="A81" s="2">
        <v>102679</v>
      </c>
    </row>
    <row r="82" spans="1:1">
      <c r="A82" s="2">
        <v>102680</v>
      </c>
    </row>
    <row r="83" spans="1:1">
      <c r="A83" s="2">
        <v>102681</v>
      </c>
    </row>
    <row r="84" spans="1:1">
      <c r="A84" s="2">
        <v>102682</v>
      </c>
    </row>
    <row r="85" spans="1:1">
      <c r="A85" s="2">
        <v>102683</v>
      </c>
    </row>
    <row r="86" spans="1:1">
      <c r="A86" s="2">
        <v>102684</v>
      </c>
    </row>
    <row r="87" spans="1:1">
      <c r="A87" s="2">
        <v>102685</v>
      </c>
    </row>
    <row r="88" spans="1:1">
      <c r="A88" s="2">
        <v>102686</v>
      </c>
    </row>
    <row r="89" spans="1:1">
      <c r="A89" s="2">
        <v>102687</v>
      </c>
    </row>
    <row r="90" spans="1:1">
      <c r="A90" s="2">
        <v>102688</v>
      </c>
    </row>
    <row r="91" spans="1:1">
      <c r="A91" s="2">
        <v>102689</v>
      </c>
    </row>
    <row r="92" spans="1:1">
      <c r="A92" s="2">
        <v>102690</v>
      </c>
    </row>
    <row r="93" spans="1:1">
      <c r="A93" s="2">
        <v>102691</v>
      </c>
    </row>
    <row r="94" spans="1:1">
      <c r="A94" s="2">
        <v>102692</v>
      </c>
    </row>
    <row r="95" spans="1:1">
      <c r="A95" s="2">
        <v>102693</v>
      </c>
    </row>
    <row r="96" spans="1:1">
      <c r="A96" s="2">
        <v>102694</v>
      </c>
    </row>
    <row r="97" spans="1:1">
      <c r="A97" s="2">
        <v>102695</v>
      </c>
    </row>
    <row r="98" spans="1:1">
      <c r="A98" s="2">
        <v>102696</v>
      </c>
    </row>
    <row r="99" spans="1:1">
      <c r="A99" s="2">
        <v>102697</v>
      </c>
    </row>
    <row r="100" spans="1:1">
      <c r="A100" s="2">
        <v>102698</v>
      </c>
    </row>
    <row r="101" spans="1:1">
      <c r="A101" s="2">
        <v>102699</v>
      </c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</sheetData>
  <pageMargins left="0.7" right="0.7" top="0.78740157499999996" bottom="0.78740157499999996" header="0.3" footer="0.3"/>
  <pageSetup paperSize="0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C1F6C-3FF1-4EC2-AE12-0B5B8E96E37A}">
  <sheetPr codeName="Tabelle48">
    <tabColor theme="1"/>
  </sheetPr>
  <dimension ref="A1:K201"/>
  <sheetViews>
    <sheetView workbookViewId="0">
      <pane xSplit="2" ySplit="2" topLeftCell="C3" activePane="bottomRight" state="frozen"/>
      <selection activeCell="G38" sqref="G38:G39"/>
      <selection pane="topRight" activeCell="G38" sqref="G38:G39"/>
      <selection pane="bottomLeft" activeCell="G38" sqref="G38:G39"/>
      <selection pane="bottomRight" activeCell="H21" sqref="H21"/>
    </sheetView>
  </sheetViews>
  <sheetFormatPr defaultColWidth="11.453125" defaultRowHeight="12.5" outlineLevelCol="1"/>
  <cols>
    <col min="3" max="5" width="11.453125" customWidth="1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102700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>
        <v>102701</v>
      </c>
      <c r="B3" s="5"/>
      <c r="C3" s="8" t="s">
        <v>2</v>
      </c>
      <c r="D3" s="2" t="s">
        <v>2</v>
      </c>
      <c r="E3" s="2" t="s">
        <v>2</v>
      </c>
      <c r="F3" s="6" t="s">
        <v>541</v>
      </c>
      <c r="G3" s="6" t="s">
        <v>545</v>
      </c>
      <c r="H3" s="6" t="s">
        <v>545</v>
      </c>
      <c r="I3" s="7" t="s">
        <v>542</v>
      </c>
      <c r="J3" s="7" t="s">
        <v>543</v>
      </c>
      <c r="K3" s="7" t="s">
        <v>544</v>
      </c>
    </row>
    <row r="4" spans="1:11">
      <c r="A4" s="2">
        <v>102702</v>
      </c>
      <c r="B4" s="2">
        <v>1</v>
      </c>
      <c r="C4" s="2">
        <v>4</v>
      </c>
      <c r="D4" s="2">
        <f>VLOOKUP($C4,DEFINES!$A$2:$C$10,2,)</f>
        <v>3</v>
      </c>
      <c r="E4" s="2">
        <f>VLOOKUP($C4,DEFINES!$A$2:$C$10,3,)</f>
        <v>0</v>
      </c>
      <c r="F4" s="6" t="s">
        <v>246</v>
      </c>
      <c r="G4" s="6" t="s">
        <v>427</v>
      </c>
      <c r="H4" s="6" t="s">
        <v>427</v>
      </c>
      <c r="I4" s="6" t="s">
        <v>40</v>
      </c>
      <c r="J4" s="6" t="s">
        <v>41</v>
      </c>
      <c r="K4" s="6" t="s">
        <v>42</v>
      </c>
    </row>
    <row r="5" spans="1:11">
      <c r="A5" s="2">
        <v>102703</v>
      </c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3" t="s">
        <v>245</v>
      </c>
      <c r="G5" s="3" t="s">
        <v>428</v>
      </c>
      <c r="H5" s="3" t="s">
        <v>428</v>
      </c>
      <c r="I5" s="6" t="s">
        <v>40</v>
      </c>
      <c r="J5" s="6" t="s">
        <v>41</v>
      </c>
      <c r="K5" s="6" t="s">
        <v>42</v>
      </c>
    </row>
    <row r="6" spans="1:11">
      <c r="A6" s="2">
        <v>102704</v>
      </c>
      <c r="B6" s="2">
        <v>3</v>
      </c>
      <c r="C6" s="2">
        <v>6</v>
      </c>
      <c r="D6" s="2">
        <f>VLOOKUP($C6,DEFINES!$A$2:$C$10,2,)</f>
        <v>2</v>
      </c>
      <c r="E6" s="2">
        <f>VLOOKUP($C6,DEFINES!$A$2:$C$10,3,)</f>
        <v>1</v>
      </c>
      <c r="F6" s="3" t="s">
        <v>426</v>
      </c>
      <c r="G6" s="3" t="s">
        <v>429</v>
      </c>
      <c r="H6" s="3" t="s">
        <v>429</v>
      </c>
      <c r="I6" s="6" t="s">
        <v>40</v>
      </c>
      <c r="J6" s="6" t="s">
        <v>41</v>
      </c>
      <c r="K6" s="6" t="s">
        <v>42</v>
      </c>
    </row>
    <row r="7" spans="1:11">
      <c r="A7" s="2">
        <v>102705</v>
      </c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6" t="s">
        <v>323</v>
      </c>
      <c r="G7" s="6" t="s">
        <v>323</v>
      </c>
      <c r="H7" s="6" t="s">
        <v>323</v>
      </c>
      <c r="I7" s="6" t="s">
        <v>40</v>
      </c>
      <c r="J7" s="6" t="s">
        <v>41</v>
      </c>
      <c r="K7" s="6" t="s">
        <v>42</v>
      </c>
    </row>
    <row r="8" spans="1:11">
      <c r="A8" s="2">
        <v>102706</v>
      </c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6" t="s">
        <v>324</v>
      </c>
      <c r="G8" s="6" t="s">
        <v>324</v>
      </c>
      <c r="H8" s="6" t="s">
        <v>324</v>
      </c>
      <c r="I8" s="6" t="s">
        <v>40</v>
      </c>
      <c r="J8" s="6" t="s">
        <v>41</v>
      </c>
      <c r="K8" s="6" t="s">
        <v>42</v>
      </c>
    </row>
    <row r="9" spans="1:11">
      <c r="A9" s="2">
        <v>102707</v>
      </c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6" t="s">
        <v>325</v>
      </c>
      <c r="G9" s="6" t="s">
        <v>325</v>
      </c>
      <c r="H9" s="6" t="s">
        <v>325</v>
      </c>
      <c r="I9" s="6" t="s">
        <v>40</v>
      </c>
      <c r="J9" s="6" t="s">
        <v>41</v>
      </c>
      <c r="K9" s="6" t="s">
        <v>42</v>
      </c>
    </row>
    <row r="10" spans="1:11">
      <c r="A10" s="2">
        <v>102708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6" t="s">
        <v>326</v>
      </c>
      <c r="G10" s="6" t="s">
        <v>326</v>
      </c>
      <c r="H10" s="6" t="s">
        <v>326</v>
      </c>
      <c r="I10" s="6" t="s">
        <v>40</v>
      </c>
      <c r="J10" s="6" t="s">
        <v>41</v>
      </c>
      <c r="K10" s="6" t="s">
        <v>42</v>
      </c>
    </row>
    <row r="11" spans="1:11">
      <c r="A11" s="2">
        <v>102709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6" t="s">
        <v>327</v>
      </c>
      <c r="G11" s="6" t="s">
        <v>327</v>
      </c>
      <c r="H11" s="6" t="s">
        <v>327</v>
      </c>
      <c r="I11" s="6" t="s">
        <v>40</v>
      </c>
      <c r="J11" s="6" t="s">
        <v>41</v>
      </c>
      <c r="K11" s="6" t="s">
        <v>42</v>
      </c>
    </row>
    <row r="12" spans="1:11">
      <c r="A12" s="2">
        <v>102710</v>
      </c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6" t="s">
        <v>43</v>
      </c>
      <c r="G12" s="6" t="s">
        <v>243</v>
      </c>
      <c r="H12" s="6" t="s">
        <v>243</v>
      </c>
      <c r="I12" s="6" t="s">
        <v>40</v>
      </c>
      <c r="J12" s="6" t="s">
        <v>41</v>
      </c>
      <c r="K12" s="6" t="s">
        <v>42</v>
      </c>
    </row>
    <row r="13" spans="1:11">
      <c r="A13" s="2">
        <v>102711</v>
      </c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6" t="s">
        <v>328</v>
      </c>
      <c r="G13" s="6" t="s">
        <v>242</v>
      </c>
      <c r="H13" s="6" t="s">
        <v>242</v>
      </c>
      <c r="I13" s="6" t="s">
        <v>40</v>
      </c>
      <c r="J13" s="6" t="s">
        <v>41</v>
      </c>
      <c r="K13" s="6" t="s">
        <v>42</v>
      </c>
    </row>
    <row r="14" spans="1:11">
      <c r="A14" s="2">
        <v>102712</v>
      </c>
      <c r="B14" s="10"/>
      <c r="C14" s="10"/>
      <c r="D14" s="10"/>
      <c r="E14" s="10"/>
      <c r="F14" s="11"/>
      <c r="G14" s="11"/>
      <c r="H14" s="11"/>
      <c r="I14" s="11"/>
      <c r="J14" s="11"/>
      <c r="K14" s="11"/>
    </row>
    <row r="15" spans="1:11">
      <c r="A15" s="2">
        <v>102713</v>
      </c>
      <c r="B15" s="2"/>
      <c r="C15" s="2"/>
      <c r="D15" s="2"/>
      <c r="E15" s="2"/>
      <c r="F15" s="6"/>
      <c r="G15" s="6"/>
      <c r="H15" s="6"/>
      <c r="I15" s="6"/>
      <c r="J15" s="6"/>
      <c r="K15" s="6"/>
    </row>
    <row r="16" spans="1:11">
      <c r="A16" s="2">
        <v>102714</v>
      </c>
      <c r="B16" s="2"/>
      <c r="C16" s="2"/>
      <c r="D16" s="2"/>
      <c r="E16" s="2"/>
      <c r="F16" s="6"/>
      <c r="G16" s="6"/>
      <c r="H16" s="6"/>
      <c r="I16" s="6"/>
      <c r="J16" s="6"/>
      <c r="K16" s="6"/>
    </row>
    <row r="17" spans="1:11">
      <c r="A17" s="2">
        <v>102715</v>
      </c>
      <c r="B17" s="2"/>
      <c r="C17" s="2"/>
      <c r="D17" s="2"/>
      <c r="E17" s="2"/>
      <c r="F17" s="6"/>
      <c r="G17" s="6"/>
      <c r="H17" s="6"/>
      <c r="I17" s="6"/>
      <c r="J17" s="6"/>
      <c r="K17" s="6"/>
    </row>
    <row r="18" spans="1:11">
      <c r="A18" s="2">
        <v>102716</v>
      </c>
      <c r="B18" s="2"/>
      <c r="C18" s="2"/>
      <c r="D18" s="2"/>
      <c r="E18" s="2"/>
      <c r="F18" s="6"/>
      <c r="G18" s="6"/>
      <c r="H18" s="6"/>
      <c r="I18" s="6"/>
      <c r="J18" s="6"/>
      <c r="K18" s="6"/>
    </row>
    <row r="19" spans="1:11">
      <c r="A19" s="2">
        <v>102717</v>
      </c>
      <c r="B19" s="2"/>
      <c r="C19" s="2"/>
      <c r="D19" s="2"/>
      <c r="E19" s="2"/>
      <c r="F19" s="6"/>
      <c r="G19" s="6"/>
      <c r="H19" s="6"/>
      <c r="I19" s="6"/>
      <c r="J19" s="6"/>
      <c r="K19" s="6"/>
    </row>
    <row r="20" spans="1:11">
      <c r="A20" s="2">
        <v>102718</v>
      </c>
      <c r="B20" s="2"/>
      <c r="C20" s="2"/>
      <c r="D20" s="2"/>
      <c r="E20" s="2"/>
      <c r="F20" s="6"/>
      <c r="G20" s="6"/>
      <c r="H20" s="6"/>
      <c r="I20" s="6"/>
      <c r="J20" s="6"/>
      <c r="K20" s="6"/>
    </row>
    <row r="21" spans="1:11">
      <c r="A21" s="2">
        <v>102719</v>
      </c>
      <c r="B21" s="2"/>
      <c r="C21" s="2"/>
      <c r="D21" s="2"/>
      <c r="E21" s="2"/>
      <c r="F21" s="6"/>
      <c r="G21" s="6"/>
      <c r="H21" s="6"/>
      <c r="I21" s="6"/>
      <c r="J21" s="6"/>
      <c r="K21" s="6"/>
    </row>
    <row r="22" spans="1:11">
      <c r="A22" s="2">
        <v>102720</v>
      </c>
      <c r="B22" s="2"/>
      <c r="C22" s="2"/>
      <c r="D22" s="2"/>
      <c r="E22" s="2"/>
      <c r="F22" s="6"/>
      <c r="G22" s="6"/>
      <c r="H22" s="6"/>
      <c r="I22" s="6"/>
      <c r="J22" s="6"/>
      <c r="K22" s="6"/>
    </row>
    <row r="23" spans="1:11">
      <c r="A23" s="2">
        <v>102721</v>
      </c>
      <c r="B23" s="2"/>
      <c r="C23" s="2"/>
      <c r="D23" s="2"/>
      <c r="E23" s="2"/>
      <c r="F23" s="6"/>
      <c r="G23" s="6"/>
      <c r="H23" s="6"/>
      <c r="I23" s="6"/>
      <c r="J23" s="6"/>
      <c r="K23" s="6"/>
    </row>
    <row r="24" spans="1:11">
      <c r="A24" s="2">
        <v>102722</v>
      </c>
      <c r="B24" s="2"/>
      <c r="C24" s="2"/>
      <c r="D24" s="2"/>
      <c r="E24" s="2"/>
      <c r="F24" s="6"/>
      <c r="G24" s="6"/>
      <c r="H24" s="6"/>
      <c r="I24" s="6"/>
      <c r="J24" s="6"/>
      <c r="K24" s="6"/>
    </row>
    <row r="25" spans="1:11">
      <c r="A25" s="2">
        <v>102723</v>
      </c>
      <c r="B25" s="2"/>
      <c r="C25" s="2"/>
      <c r="D25" s="2"/>
      <c r="E25" s="2"/>
      <c r="F25" s="6"/>
      <c r="G25" s="6"/>
      <c r="H25" s="6"/>
      <c r="I25" s="6"/>
      <c r="J25" s="6"/>
      <c r="K25" s="6"/>
    </row>
    <row r="26" spans="1:11">
      <c r="A26" s="2">
        <v>102724</v>
      </c>
      <c r="B26" s="2"/>
      <c r="C26" s="2"/>
      <c r="D26" s="2"/>
      <c r="E26" s="2"/>
      <c r="F26" s="6"/>
      <c r="G26" s="6"/>
      <c r="H26" s="6"/>
      <c r="I26" s="6"/>
      <c r="J26" s="6"/>
      <c r="K26" s="6"/>
    </row>
    <row r="27" spans="1:11">
      <c r="A27" s="2">
        <v>102725</v>
      </c>
      <c r="B27" s="2"/>
      <c r="C27" s="2"/>
      <c r="D27" s="2"/>
      <c r="E27" s="2"/>
      <c r="F27" s="6"/>
      <c r="G27" s="6"/>
      <c r="H27" s="6"/>
      <c r="I27" s="6"/>
      <c r="J27" s="6"/>
      <c r="K27" s="6"/>
    </row>
    <row r="28" spans="1:11">
      <c r="A28" s="2">
        <v>102726</v>
      </c>
      <c r="B28" s="2"/>
      <c r="C28" s="2"/>
      <c r="D28" s="2"/>
      <c r="E28" s="2"/>
      <c r="F28" s="6"/>
      <c r="G28" s="6"/>
      <c r="H28" s="6"/>
      <c r="I28" s="6"/>
      <c r="J28" s="6"/>
      <c r="K28" s="6"/>
    </row>
    <row r="29" spans="1:11">
      <c r="A29" s="2">
        <v>102727</v>
      </c>
      <c r="B29" s="2"/>
      <c r="C29" s="2"/>
      <c r="D29" s="2"/>
      <c r="E29" s="2"/>
      <c r="F29" s="6"/>
      <c r="G29" s="6"/>
      <c r="H29" s="6"/>
      <c r="I29" s="6"/>
      <c r="J29" s="6"/>
      <c r="K29" s="6"/>
    </row>
    <row r="30" spans="1:11">
      <c r="A30" s="2">
        <v>102728</v>
      </c>
      <c r="B30" s="2"/>
      <c r="C30" s="2"/>
      <c r="D30" s="2"/>
      <c r="E30" s="2"/>
      <c r="F30" s="6"/>
      <c r="G30" s="6"/>
      <c r="H30" s="6"/>
      <c r="I30" s="6"/>
      <c r="J30" s="6"/>
      <c r="K30" s="6"/>
    </row>
    <row r="31" spans="1:11">
      <c r="A31" s="2">
        <v>102729</v>
      </c>
      <c r="B31" s="2"/>
      <c r="C31" s="2"/>
      <c r="D31" s="2"/>
      <c r="E31" s="2"/>
      <c r="F31" s="6"/>
      <c r="G31" s="6"/>
      <c r="H31" s="6"/>
      <c r="I31" s="6"/>
      <c r="J31" s="6"/>
      <c r="K31" s="6"/>
    </row>
    <row r="32" spans="1:11">
      <c r="A32" s="2">
        <v>102730</v>
      </c>
      <c r="B32" s="2"/>
      <c r="C32" s="2"/>
      <c r="D32" s="2"/>
      <c r="E32" s="2"/>
      <c r="F32" s="6"/>
      <c r="G32" s="6"/>
      <c r="H32" s="6"/>
      <c r="I32" s="6"/>
      <c r="J32" s="6"/>
      <c r="K32" s="6"/>
    </row>
    <row r="33" spans="1:11">
      <c r="A33" s="2">
        <v>102731</v>
      </c>
      <c r="B33" s="2"/>
      <c r="C33" s="2"/>
      <c r="D33" s="2"/>
      <c r="E33" s="2"/>
      <c r="F33" s="6"/>
      <c r="G33" s="6"/>
      <c r="H33" s="6"/>
      <c r="I33" s="6"/>
      <c r="J33" s="6"/>
      <c r="K33" s="6"/>
    </row>
    <row r="34" spans="1:11">
      <c r="A34" s="2">
        <v>102732</v>
      </c>
      <c r="B34" s="2"/>
      <c r="C34" s="2"/>
      <c r="D34" s="2"/>
      <c r="E34" s="2"/>
      <c r="F34" s="6"/>
      <c r="G34" s="6"/>
      <c r="H34" s="6"/>
      <c r="I34" s="6"/>
      <c r="J34" s="6"/>
      <c r="K34" s="6"/>
    </row>
    <row r="35" spans="1:11">
      <c r="A35" s="2">
        <v>102733</v>
      </c>
      <c r="B35" s="2"/>
      <c r="C35" s="2"/>
      <c r="D35" s="2"/>
      <c r="E35" s="2"/>
      <c r="F35" s="6"/>
      <c r="G35" s="6"/>
      <c r="H35" s="6"/>
      <c r="I35" s="6"/>
      <c r="J35" s="6"/>
      <c r="K35" s="6"/>
    </row>
    <row r="36" spans="1:11">
      <c r="A36" s="2">
        <v>102734</v>
      </c>
      <c r="B36" s="2"/>
      <c r="C36" s="2"/>
      <c r="D36" s="2"/>
      <c r="E36" s="2"/>
      <c r="F36" s="6"/>
      <c r="G36" s="6"/>
      <c r="H36" s="6"/>
      <c r="I36" s="6"/>
      <c r="J36" s="6"/>
      <c r="K36" s="6"/>
    </row>
    <row r="37" spans="1:11">
      <c r="A37" s="2">
        <v>102735</v>
      </c>
      <c r="B37" s="2"/>
      <c r="C37" s="2"/>
      <c r="D37" s="2"/>
      <c r="E37" s="2"/>
      <c r="F37" s="6"/>
      <c r="G37" s="6"/>
      <c r="H37" s="6"/>
      <c r="I37" s="6"/>
      <c r="J37" s="6"/>
      <c r="K37" s="6"/>
    </row>
    <row r="38" spans="1:11">
      <c r="A38" s="2">
        <v>102736</v>
      </c>
      <c r="B38" s="2"/>
      <c r="C38" s="2"/>
      <c r="D38" s="2"/>
      <c r="E38" s="2"/>
      <c r="F38" s="6"/>
      <c r="G38" s="6"/>
      <c r="H38" s="6"/>
      <c r="I38" s="6"/>
      <c r="J38" s="6"/>
      <c r="K38" s="6"/>
    </row>
    <row r="39" spans="1:11">
      <c r="A39" s="2">
        <v>102737</v>
      </c>
      <c r="B39" s="2"/>
      <c r="C39" s="2"/>
      <c r="D39" s="2"/>
      <c r="E39" s="2"/>
      <c r="F39" s="6"/>
      <c r="G39" s="6"/>
      <c r="H39" s="6"/>
      <c r="I39" s="6"/>
      <c r="J39" s="6"/>
      <c r="K39" s="6"/>
    </row>
    <row r="40" spans="1:11">
      <c r="A40" s="2">
        <v>102738</v>
      </c>
      <c r="B40" s="2"/>
      <c r="C40" s="2"/>
      <c r="D40" s="2"/>
      <c r="E40" s="2"/>
      <c r="F40" s="6"/>
      <c r="G40" s="6"/>
      <c r="H40" s="6"/>
      <c r="I40" s="6"/>
      <c r="J40" s="6"/>
      <c r="K40" s="6"/>
    </row>
    <row r="41" spans="1:11">
      <c r="A41" s="2">
        <v>102739</v>
      </c>
      <c r="B41" s="2"/>
      <c r="C41" s="2"/>
      <c r="D41" s="2"/>
      <c r="E41" s="2"/>
      <c r="F41" s="6"/>
      <c r="G41" s="6"/>
      <c r="H41" s="6"/>
      <c r="I41" s="6"/>
      <c r="J41" s="6"/>
      <c r="K41" s="6"/>
    </row>
    <row r="42" spans="1:11">
      <c r="A42" s="2">
        <v>102740</v>
      </c>
      <c r="B42" s="2"/>
      <c r="C42" s="2"/>
      <c r="D42" s="2"/>
      <c r="E42" s="2"/>
      <c r="F42" s="6"/>
      <c r="G42" s="6"/>
      <c r="H42" s="6"/>
      <c r="I42" s="6"/>
      <c r="J42" s="6"/>
      <c r="K42" s="6"/>
    </row>
    <row r="43" spans="1:11">
      <c r="A43" s="2">
        <v>102741</v>
      </c>
      <c r="B43" s="2"/>
      <c r="C43" s="2"/>
      <c r="D43" s="2"/>
      <c r="E43" s="2"/>
      <c r="F43" s="6"/>
      <c r="G43" s="6"/>
      <c r="H43" s="6"/>
      <c r="I43" s="6"/>
      <c r="J43" s="6"/>
      <c r="K43" s="6"/>
    </row>
    <row r="44" spans="1:11">
      <c r="A44" s="2">
        <v>102742</v>
      </c>
      <c r="B44" s="2"/>
      <c r="C44" s="2"/>
      <c r="D44" s="2"/>
      <c r="E44" s="2"/>
      <c r="F44" s="6"/>
      <c r="G44" s="6"/>
      <c r="H44" s="6"/>
      <c r="I44" s="6"/>
      <c r="J44" s="6"/>
      <c r="K44" s="6"/>
    </row>
    <row r="45" spans="1:11">
      <c r="A45" s="2">
        <v>102743</v>
      </c>
      <c r="B45" s="2"/>
      <c r="C45" s="2"/>
      <c r="D45" s="2"/>
      <c r="E45" s="2"/>
      <c r="F45" s="6"/>
      <c r="G45" s="6"/>
      <c r="H45" s="6"/>
      <c r="I45" s="6"/>
      <c r="J45" s="6"/>
      <c r="K45" s="6"/>
    </row>
    <row r="46" spans="1:11">
      <c r="A46" s="2">
        <v>102744</v>
      </c>
      <c r="B46" s="2"/>
      <c r="C46" s="2"/>
      <c r="D46" s="2"/>
      <c r="E46" s="2"/>
      <c r="F46" s="6"/>
      <c r="G46" s="6"/>
      <c r="H46" s="6"/>
      <c r="I46" s="6"/>
      <c r="J46" s="6"/>
      <c r="K46" s="6"/>
    </row>
    <row r="47" spans="1:11">
      <c r="A47" s="2">
        <v>102745</v>
      </c>
      <c r="B47" s="2"/>
      <c r="C47" s="2"/>
      <c r="D47" s="2"/>
      <c r="E47" s="2"/>
      <c r="F47" s="6"/>
      <c r="G47" s="6"/>
      <c r="H47" s="6"/>
      <c r="I47" s="6"/>
      <c r="J47" s="6"/>
      <c r="K47" s="6"/>
    </row>
    <row r="48" spans="1:11">
      <c r="A48" s="2">
        <v>102746</v>
      </c>
      <c r="B48" s="2"/>
      <c r="C48" s="2"/>
      <c r="D48" s="2"/>
      <c r="E48" s="2"/>
      <c r="F48" s="6"/>
      <c r="G48" s="6"/>
      <c r="H48" s="6"/>
      <c r="I48" s="6"/>
      <c r="J48" s="6"/>
      <c r="K48" s="6"/>
    </row>
    <row r="49" spans="1:11">
      <c r="A49" s="2">
        <v>102747</v>
      </c>
      <c r="B49" s="2"/>
      <c r="C49" s="2"/>
      <c r="D49" s="2"/>
      <c r="E49" s="2"/>
      <c r="F49" s="6"/>
      <c r="G49" s="6"/>
      <c r="H49" s="6"/>
      <c r="I49" s="6"/>
      <c r="J49" s="6"/>
      <c r="K49" s="6"/>
    </row>
    <row r="50" spans="1:11">
      <c r="A50" s="2">
        <v>102748</v>
      </c>
      <c r="B50" s="2"/>
      <c r="C50" s="2"/>
      <c r="D50" s="2"/>
      <c r="E50" s="2"/>
      <c r="F50" s="6"/>
      <c r="G50" s="6"/>
      <c r="H50" s="6"/>
      <c r="I50" s="6"/>
      <c r="J50" s="6"/>
      <c r="K50" s="6"/>
    </row>
    <row r="51" spans="1:11">
      <c r="A51" s="2">
        <v>102749</v>
      </c>
      <c r="B51" s="2"/>
      <c r="C51" s="2"/>
      <c r="D51" s="2"/>
      <c r="E51" s="2"/>
      <c r="F51" s="6"/>
      <c r="G51" s="6"/>
      <c r="H51" s="6"/>
      <c r="I51" s="6"/>
      <c r="J51" s="6"/>
      <c r="K51" s="6"/>
    </row>
    <row r="52" spans="1:11">
      <c r="A52" s="2">
        <v>102750</v>
      </c>
      <c r="B52" s="2"/>
      <c r="C52" s="2"/>
      <c r="D52" s="2"/>
      <c r="E52" s="2"/>
      <c r="F52" s="6"/>
      <c r="G52" s="6"/>
      <c r="H52" s="6"/>
      <c r="I52" s="6"/>
      <c r="J52" s="6"/>
      <c r="K52" s="6"/>
    </row>
    <row r="53" spans="1:11">
      <c r="A53" s="2">
        <v>102751</v>
      </c>
      <c r="B53" s="2"/>
      <c r="C53" s="2"/>
      <c r="D53" s="2"/>
      <c r="E53" s="2"/>
      <c r="F53" s="3"/>
      <c r="G53" s="3"/>
      <c r="H53" s="3"/>
      <c r="I53" s="3"/>
      <c r="J53" s="3"/>
      <c r="K53" s="3"/>
    </row>
    <row r="54" spans="1:11">
      <c r="A54" s="2">
        <v>102752</v>
      </c>
      <c r="B54" s="2"/>
      <c r="C54" s="2"/>
      <c r="D54" s="2"/>
      <c r="E54" s="2"/>
      <c r="F54" s="3"/>
      <c r="G54" s="3"/>
      <c r="H54" s="3"/>
      <c r="I54" s="3"/>
      <c r="J54" s="3"/>
      <c r="K54" s="3"/>
    </row>
    <row r="55" spans="1:11">
      <c r="A55" s="2">
        <v>102753</v>
      </c>
    </row>
    <row r="56" spans="1:11">
      <c r="A56" s="2">
        <v>102754</v>
      </c>
    </row>
    <row r="57" spans="1:11">
      <c r="A57" s="2">
        <v>102755</v>
      </c>
    </row>
    <row r="58" spans="1:11">
      <c r="A58" s="2">
        <v>102756</v>
      </c>
    </row>
    <row r="59" spans="1:11">
      <c r="A59" s="2">
        <v>102757</v>
      </c>
    </row>
    <row r="60" spans="1:11">
      <c r="A60" s="2">
        <v>102758</v>
      </c>
    </row>
    <row r="61" spans="1:11">
      <c r="A61" s="2">
        <v>102759</v>
      </c>
    </row>
    <row r="62" spans="1:11">
      <c r="A62" s="2">
        <v>102760</v>
      </c>
    </row>
    <row r="63" spans="1:11">
      <c r="A63" s="2">
        <v>102761</v>
      </c>
    </row>
    <row r="64" spans="1:11">
      <c r="A64" s="2">
        <v>102762</v>
      </c>
    </row>
    <row r="65" spans="1:1">
      <c r="A65" s="2">
        <v>102763</v>
      </c>
    </row>
    <row r="66" spans="1:1">
      <c r="A66" s="2">
        <v>102764</v>
      </c>
    </row>
    <row r="67" spans="1:1">
      <c r="A67" s="2">
        <v>102765</v>
      </c>
    </row>
    <row r="68" spans="1:1">
      <c r="A68" s="2">
        <v>102766</v>
      </c>
    </row>
    <row r="69" spans="1:1">
      <c r="A69" s="2">
        <v>102767</v>
      </c>
    </row>
    <row r="70" spans="1:1">
      <c r="A70" s="2">
        <v>102768</v>
      </c>
    </row>
    <row r="71" spans="1:1">
      <c r="A71" s="2">
        <v>102769</v>
      </c>
    </row>
    <row r="72" spans="1:1">
      <c r="A72" s="2">
        <v>102770</v>
      </c>
    </row>
    <row r="73" spans="1:1">
      <c r="A73" s="2">
        <v>102771</v>
      </c>
    </row>
    <row r="74" spans="1:1">
      <c r="A74" s="2">
        <v>102772</v>
      </c>
    </row>
    <row r="75" spans="1:1">
      <c r="A75" s="2">
        <v>102773</v>
      </c>
    </row>
    <row r="76" spans="1:1">
      <c r="A76" s="2">
        <v>102774</v>
      </c>
    </row>
    <row r="77" spans="1:1">
      <c r="A77" s="2">
        <v>102775</v>
      </c>
    </row>
    <row r="78" spans="1:1">
      <c r="A78" s="2">
        <v>102776</v>
      </c>
    </row>
    <row r="79" spans="1:1">
      <c r="A79" s="2">
        <v>102777</v>
      </c>
    </row>
    <row r="80" spans="1:1">
      <c r="A80" s="2">
        <v>102778</v>
      </c>
    </row>
    <row r="81" spans="1:1">
      <c r="A81" s="2">
        <v>102779</v>
      </c>
    </row>
    <row r="82" spans="1:1">
      <c r="A82" s="2">
        <v>102780</v>
      </c>
    </row>
    <row r="83" spans="1:1">
      <c r="A83" s="2">
        <v>102781</v>
      </c>
    </row>
    <row r="84" spans="1:1">
      <c r="A84" s="2">
        <v>102782</v>
      </c>
    </row>
    <row r="85" spans="1:1">
      <c r="A85" s="2">
        <v>102783</v>
      </c>
    </row>
    <row r="86" spans="1:1">
      <c r="A86" s="2">
        <v>102784</v>
      </c>
    </row>
    <row r="87" spans="1:1">
      <c r="A87" s="2">
        <v>102785</v>
      </c>
    </row>
    <row r="88" spans="1:1">
      <c r="A88" s="2">
        <v>102786</v>
      </c>
    </row>
    <row r="89" spans="1:1">
      <c r="A89" s="2">
        <v>102787</v>
      </c>
    </row>
    <row r="90" spans="1:1">
      <c r="A90" s="2">
        <v>102788</v>
      </c>
    </row>
    <row r="91" spans="1:1">
      <c r="A91" s="2">
        <v>102789</v>
      </c>
    </row>
    <row r="92" spans="1:1">
      <c r="A92" s="2">
        <v>102790</v>
      </c>
    </row>
    <row r="93" spans="1:1">
      <c r="A93" s="2">
        <v>102791</v>
      </c>
    </row>
    <row r="94" spans="1:1">
      <c r="A94" s="2">
        <v>102792</v>
      </c>
    </row>
    <row r="95" spans="1:1">
      <c r="A95" s="2">
        <v>102793</v>
      </c>
    </row>
    <row r="96" spans="1:1">
      <c r="A96" s="2">
        <v>102794</v>
      </c>
    </row>
    <row r="97" spans="1:1">
      <c r="A97" s="2">
        <v>102795</v>
      </c>
    </row>
    <row r="98" spans="1:1">
      <c r="A98" s="2">
        <v>102796</v>
      </c>
    </row>
    <row r="99" spans="1:1">
      <c r="A99" s="2">
        <v>102797</v>
      </c>
    </row>
    <row r="100" spans="1:1">
      <c r="A100" s="2">
        <v>102798</v>
      </c>
    </row>
    <row r="101" spans="1:1">
      <c r="A101" s="2">
        <v>102799</v>
      </c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</sheetData>
  <pageMargins left="0.7" right="0.7" top="0.78740157499999996" bottom="0.78740157499999996" header="0.3" footer="0.3"/>
  <pageSetup paperSize="0"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35">
    <tabColor theme="1"/>
  </sheetPr>
  <dimension ref="A1:K55"/>
  <sheetViews>
    <sheetView workbookViewId="0">
      <pane xSplit="5" ySplit="3" topLeftCell="G4" activePane="bottomRight" state="frozen"/>
      <selection pane="topRight" activeCell="F1" sqref="F1"/>
      <selection pane="bottomLeft" activeCell="A4" sqref="A4"/>
      <selection pane="bottomRight" activeCell="G15" sqref="G15"/>
    </sheetView>
  </sheetViews>
  <sheetFormatPr defaultColWidth="11.453125" defaultRowHeight="12.5" outlineLevelCol="1"/>
  <cols>
    <col min="3" max="5" width="11.453125" customWidth="1" outlineLevel="1"/>
    <col min="6" max="6" width="98.1796875" customWidth="1"/>
    <col min="7" max="7" width="97.453125" customWidth="1"/>
    <col min="8" max="8" width="84.54296875" customWidth="1"/>
    <col min="9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103000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>
        <v>103001</v>
      </c>
      <c r="B3" s="5"/>
      <c r="C3" s="2" t="s">
        <v>2</v>
      </c>
      <c r="D3" s="2" t="s">
        <v>2</v>
      </c>
      <c r="E3" s="2" t="s">
        <v>2</v>
      </c>
      <c r="F3" s="6" t="s">
        <v>182</v>
      </c>
      <c r="G3" s="6" t="s">
        <v>182</v>
      </c>
      <c r="H3" s="6" t="s">
        <v>182</v>
      </c>
      <c r="I3" s="7" t="s">
        <v>182</v>
      </c>
      <c r="J3" s="7" t="s">
        <v>29</v>
      </c>
      <c r="K3" s="7" t="s">
        <v>30</v>
      </c>
    </row>
    <row r="4" spans="1:11" ht="13">
      <c r="A4" s="2">
        <v>103002</v>
      </c>
      <c r="B4" s="2">
        <v>1</v>
      </c>
      <c r="C4" s="2">
        <v>7</v>
      </c>
      <c r="D4" s="2">
        <f>VLOOKUP($C4,DEFINES!$A$2:$C$10,2,)</f>
        <v>1</v>
      </c>
      <c r="E4" s="2">
        <f>VLOOKUP($C4,DEFINES!$A$2:$C$10,3,)</f>
        <v>1</v>
      </c>
      <c r="F4" s="3" t="s">
        <v>267</v>
      </c>
      <c r="G4" s="3" t="s">
        <v>266</v>
      </c>
      <c r="H4" s="6" t="s">
        <v>597</v>
      </c>
      <c r="I4" s="6" t="s">
        <v>10</v>
      </c>
      <c r="J4" s="6" t="s">
        <v>11</v>
      </c>
      <c r="K4" s="6" t="s">
        <v>12</v>
      </c>
    </row>
    <row r="5" spans="1:11" ht="13">
      <c r="A5" s="2">
        <v>103003</v>
      </c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6" t="s">
        <v>31</v>
      </c>
      <c r="G5" s="3" t="s">
        <v>265</v>
      </c>
      <c r="H5" s="6" t="s">
        <v>598</v>
      </c>
      <c r="I5" s="6" t="s">
        <v>10</v>
      </c>
      <c r="J5" s="6" t="s">
        <v>11</v>
      </c>
      <c r="K5" s="6" t="s">
        <v>12</v>
      </c>
    </row>
    <row r="6" spans="1:11" ht="13">
      <c r="A6" s="2">
        <v>103004</v>
      </c>
      <c r="B6" s="2">
        <v>3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6" t="s">
        <v>455</v>
      </c>
      <c r="G6" s="3" t="s">
        <v>456</v>
      </c>
      <c r="H6" s="6" t="s">
        <v>599</v>
      </c>
      <c r="I6" s="6" t="s">
        <v>10</v>
      </c>
      <c r="J6" s="6" t="s">
        <v>11</v>
      </c>
      <c r="K6" s="6" t="s">
        <v>12</v>
      </c>
    </row>
    <row r="7" spans="1:11" ht="13">
      <c r="A7" s="2">
        <v>103005</v>
      </c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6" t="s">
        <v>32</v>
      </c>
      <c r="G7" s="3" t="s">
        <v>264</v>
      </c>
      <c r="H7" s="6" t="s">
        <v>600</v>
      </c>
      <c r="I7" s="6" t="s">
        <v>10</v>
      </c>
      <c r="J7" s="6" t="s">
        <v>11</v>
      </c>
      <c r="K7" s="6" t="s">
        <v>12</v>
      </c>
    </row>
    <row r="8" spans="1:11" ht="13">
      <c r="A8" s="2">
        <v>103006</v>
      </c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6" t="s">
        <v>411</v>
      </c>
      <c r="G8" s="3" t="s">
        <v>454</v>
      </c>
      <c r="H8" s="6" t="s">
        <v>601</v>
      </c>
      <c r="I8" s="6" t="s">
        <v>10</v>
      </c>
      <c r="J8" s="6" t="s">
        <v>11</v>
      </c>
      <c r="K8" s="6" t="s">
        <v>12</v>
      </c>
    </row>
    <row r="9" spans="1:11" ht="13">
      <c r="A9" s="2">
        <v>103007</v>
      </c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6" t="s">
        <v>445</v>
      </c>
      <c r="G9" s="6" t="s">
        <v>611</v>
      </c>
      <c r="H9" s="6" t="s">
        <v>602</v>
      </c>
      <c r="I9" s="6" t="s">
        <v>10</v>
      </c>
      <c r="J9" s="6" t="s">
        <v>11</v>
      </c>
      <c r="K9" s="6" t="s">
        <v>12</v>
      </c>
    </row>
    <row r="10" spans="1:11" ht="13">
      <c r="A10" s="2">
        <v>103008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6" t="s">
        <v>450</v>
      </c>
      <c r="G10" s="6" t="s">
        <v>446</v>
      </c>
      <c r="H10" s="6" t="s">
        <v>603</v>
      </c>
      <c r="I10" s="6" t="s">
        <v>10</v>
      </c>
      <c r="J10" s="6" t="s">
        <v>11</v>
      </c>
      <c r="K10" s="6" t="s">
        <v>12</v>
      </c>
    </row>
    <row r="11" spans="1:11" ht="13">
      <c r="A11" s="2">
        <v>103009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6" t="s">
        <v>451</v>
      </c>
      <c r="G11" s="6" t="s">
        <v>447</v>
      </c>
      <c r="H11" s="6" t="s">
        <v>604</v>
      </c>
      <c r="I11" s="6" t="s">
        <v>10</v>
      </c>
      <c r="J11" s="6" t="s">
        <v>11</v>
      </c>
      <c r="K11" s="6" t="s">
        <v>12</v>
      </c>
    </row>
    <row r="12" spans="1:11" ht="13">
      <c r="A12" s="2"/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6" t="s">
        <v>452</v>
      </c>
      <c r="G12" s="6" t="s">
        <v>448</v>
      </c>
      <c r="H12" s="6" t="s">
        <v>605</v>
      </c>
      <c r="I12" s="6" t="s">
        <v>10</v>
      </c>
      <c r="J12" s="6" t="s">
        <v>11</v>
      </c>
      <c r="K12" s="6" t="s">
        <v>12</v>
      </c>
    </row>
    <row r="13" spans="1:11" ht="13">
      <c r="A13" s="2"/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6" t="s">
        <v>453</v>
      </c>
      <c r="G13" s="6" t="s">
        <v>449</v>
      </c>
      <c r="H13" s="6" t="s">
        <v>606</v>
      </c>
      <c r="I13" s="6" t="s">
        <v>10</v>
      </c>
      <c r="J13" s="6" t="s">
        <v>11</v>
      </c>
      <c r="K13" s="6" t="s">
        <v>12</v>
      </c>
    </row>
    <row r="14" spans="1:11" ht="12.75" customHeight="1">
      <c r="A14" s="2"/>
      <c r="B14" s="2">
        <v>10</v>
      </c>
      <c r="C14" s="2">
        <v>7</v>
      </c>
      <c r="D14" s="2">
        <f>VLOOKUP($C14,DEFINES!$A$2:$C$10,2,)</f>
        <v>1</v>
      </c>
      <c r="E14" s="2">
        <f>VLOOKUP($C14,DEFINES!$A$2:$C$10,3,)</f>
        <v>1</v>
      </c>
      <c r="F14" s="3" t="s">
        <v>233</v>
      </c>
      <c r="G14" s="3" t="s">
        <v>233</v>
      </c>
      <c r="H14" s="3" t="s">
        <v>233</v>
      </c>
      <c r="I14" s="6" t="s">
        <v>10</v>
      </c>
      <c r="J14" s="6" t="s">
        <v>11</v>
      </c>
      <c r="K14" s="6" t="s">
        <v>12</v>
      </c>
    </row>
    <row r="15" spans="1:11" ht="12.75" customHeight="1">
      <c r="A15" s="10"/>
      <c r="B15" s="10">
        <v>11</v>
      </c>
      <c r="C15" s="10">
        <v>7</v>
      </c>
      <c r="D15" s="2">
        <f>VLOOKUP($C15,DEFINES!$A$2:$C$10,2,)</f>
        <v>1</v>
      </c>
      <c r="E15" s="2">
        <f>VLOOKUP($C15,DEFINES!$A$2:$C$10,3,)</f>
        <v>1</v>
      </c>
      <c r="F15" s="3" t="s">
        <v>233</v>
      </c>
      <c r="G15" s="3" t="s">
        <v>233</v>
      </c>
      <c r="H15" s="3" t="s">
        <v>233</v>
      </c>
      <c r="I15" s="11" t="s">
        <v>10</v>
      </c>
      <c r="J15" s="11" t="s">
        <v>11</v>
      </c>
      <c r="K15" s="11" t="s">
        <v>12</v>
      </c>
    </row>
    <row r="16" spans="1:11" ht="12.75" customHeight="1">
      <c r="A16" s="2"/>
      <c r="B16" s="2">
        <v>12</v>
      </c>
      <c r="C16" s="2">
        <v>7</v>
      </c>
      <c r="D16" s="2">
        <f>VLOOKUP($C16,DEFINES!$A$2:$C$10,2,)</f>
        <v>1</v>
      </c>
      <c r="E16" s="2">
        <f>VLOOKUP($C16,DEFINES!$A$2:$C$10,3,)</f>
        <v>1</v>
      </c>
      <c r="F16" s="3" t="s">
        <v>233</v>
      </c>
      <c r="G16" s="3" t="s">
        <v>233</v>
      </c>
      <c r="H16" s="3" t="s">
        <v>233</v>
      </c>
      <c r="I16" s="6" t="s">
        <v>10</v>
      </c>
      <c r="J16" s="6" t="s">
        <v>11</v>
      </c>
      <c r="K16" s="6" t="s">
        <v>12</v>
      </c>
    </row>
    <row r="17" spans="1:11" ht="12.75" customHeight="1">
      <c r="A17" s="2"/>
      <c r="B17" s="2">
        <v>13</v>
      </c>
      <c r="C17" s="2">
        <v>7</v>
      </c>
      <c r="D17" s="2">
        <f>VLOOKUP($C17,DEFINES!$A$2:$C$10,2,)</f>
        <v>1</v>
      </c>
      <c r="E17" s="2">
        <f>VLOOKUP($C17,DEFINES!$A$2:$C$10,3,)</f>
        <v>1</v>
      </c>
      <c r="F17" s="3" t="s">
        <v>233</v>
      </c>
      <c r="G17" s="3" t="s">
        <v>233</v>
      </c>
      <c r="H17" s="3" t="s">
        <v>233</v>
      </c>
      <c r="I17" s="6" t="s">
        <v>10</v>
      </c>
      <c r="J17" s="6" t="s">
        <v>11</v>
      </c>
      <c r="K17" s="6" t="s">
        <v>12</v>
      </c>
    </row>
    <row r="18" spans="1:11" ht="12.75" customHeight="1">
      <c r="A18" s="2"/>
      <c r="B18" s="2">
        <v>14</v>
      </c>
      <c r="C18" s="2">
        <v>7</v>
      </c>
      <c r="D18" s="2">
        <f>VLOOKUP($C18,DEFINES!$A$2:$C$10,2,)</f>
        <v>1</v>
      </c>
      <c r="E18" s="2">
        <f>VLOOKUP($C18,DEFINES!$A$2:$C$10,3,)</f>
        <v>1</v>
      </c>
      <c r="F18" s="3" t="s">
        <v>233</v>
      </c>
      <c r="G18" s="3" t="s">
        <v>233</v>
      </c>
      <c r="H18" s="3" t="s">
        <v>233</v>
      </c>
      <c r="I18" s="6" t="s">
        <v>10</v>
      </c>
      <c r="J18" s="6" t="s">
        <v>11</v>
      </c>
      <c r="K18" s="6" t="s">
        <v>12</v>
      </c>
    </row>
    <row r="19" spans="1:11" ht="12.75" customHeight="1">
      <c r="A19" s="2"/>
      <c r="B19" s="2">
        <v>15</v>
      </c>
      <c r="C19" s="2">
        <v>7</v>
      </c>
      <c r="D19" s="2">
        <f>VLOOKUP($C19,DEFINES!$A$2:$C$10,2,)</f>
        <v>1</v>
      </c>
      <c r="E19" s="2">
        <f>VLOOKUP($C19,DEFINES!$A$2:$C$10,3,)</f>
        <v>1</v>
      </c>
      <c r="F19" s="3" t="s">
        <v>233</v>
      </c>
      <c r="G19" s="3" t="s">
        <v>233</v>
      </c>
      <c r="H19" s="3" t="s">
        <v>233</v>
      </c>
      <c r="I19" s="6" t="s">
        <v>10</v>
      </c>
      <c r="J19" s="6" t="s">
        <v>11</v>
      </c>
      <c r="K19" s="6" t="s">
        <v>12</v>
      </c>
    </row>
    <row r="20" spans="1:11" ht="12.75" customHeight="1">
      <c r="A20" s="2"/>
      <c r="B20" s="2">
        <v>16</v>
      </c>
      <c r="C20" s="2">
        <v>7</v>
      </c>
      <c r="D20" s="2">
        <f>VLOOKUP($C20,DEFINES!$A$2:$C$10,2,)</f>
        <v>1</v>
      </c>
      <c r="E20" s="2">
        <f>VLOOKUP($C20,DEFINES!$A$2:$C$10,3,)</f>
        <v>1</v>
      </c>
      <c r="F20" s="3" t="s">
        <v>233</v>
      </c>
      <c r="G20" s="3" t="s">
        <v>233</v>
      </c>
      <c r="H20" s="3" t="s">
        <v>233</v>
      </c>
      <c r="I20" s="6" t="s">
        <v>10</v>
      </c>
      <c r="J20" s="6" t="s">
        <v>11</v>
      </c>
      <c r="K20" s="6" t="s">
        <v>12</v>
      </c>
    </row>
    <row r="21" spans="1:11" ht="12.75" customHeight="1">
      <c r="A21" s="2"/>
      <c r="B21" s="2">
        <v>17</v>
      </c>
      <c r="C21" s="2">
        <v>7</v>
      </c>
      <c r="D21" s="2">
        <f>VLOOKUP($C21,DEFINES!$A$2:$C$10,2,)</f>
        <v>1</v>
      </c>
      <c r="E21" s="2">
        <f>VLOOKUP($C21,DEFINES!$A$2:$C$10,3,)</f>
        <v>1</v>
      </c>
      <c r="F21" s="3" t="s">
        <v>233</v>
      </c>
      <c r="G21" s="3" t="s">
        <v>233</v>
      </c>
      <c r="H21" s="3" t="s">
        <v>233</v>
      </c>
      <c r="I21" s="6" t="s">
        <v>10</v>
      </c>
      <c r="J21" s="6" t="s">
        <v>11</v>
      </c>
      <c r="K21" s="6" t="s">
        <v>12</v>
      </c>
    </row>
    <row r="22" spans="1:11" ht="12.75" customHeight="1">
      <c r="A22" s="2"/>
      <c r="B22" s="2">
        <v>18</v>
      </c>
      <c r="C22" s="2">
        <v>7</v>
      </c>
      <c r="D22" s="2">
        <f>VLOOKUP($C22,DEFINES!$A$2:$C$10,2,)</f>
        <v>1</v>
      </c>
      <c r="E22" s="2">
        <f>VLOOKUP($C22,DEFINES!$A$2:$C$10,3,)</f>
        <v>1</v>
      </c>
      <c r="F22" s="3" t="s">
        <v>233</v>
      </c>
      <c r="G22" s="3" t="s">
        <v>233</v>
      </c>
      <c r="H22" s="3" t="s">
        <v>233</v>
      </c>
      <c r="I22" s="6" t="s">
        <v>10</v>
      </c>
      <c r="J22" s="6" t="s">
        <v>11</v>
      </c>
      <c r="K22" s="6" t="s">
        <v>12</v>
      </c>
    </row>
    <row r="23" spans="1:11" ht="12.75" customHeight="1">
      <c r="A23" s="2"/>
      <c r="B23" s="2">
        <v>19</v>
      </c>
      <c r="C23" s="2">
        <v>7</v>
      </c>
      <c r="D23" s="2">
        <f>VLOOKUP($C23,DEFINES!$A$2:$C$10,2,)</f>
        <v>1</v>
      </c>
      <c r="E23" s="2">
        <f>VLOOKUP($C23,DEFINES!$A$2:$C$10,3,)</f>
        <v>1</v>
      </c>
      <c r="F23" s="3" t="s">
        <v>233</v>
      </c>
      <c r="G23" s="3" t="s">
        <v>233</v>
      </c>
      <c r="H23" s="3" t="s">
        <v>233</v>
      </c>
      <c r="I23" s="6" t="s">
        <v>10</v>
      </c>
      <c r="J23" s="6" t="s">
        <v>11</v>
      </c>
      <c r="K23" s="6" t="s">
        <v>12</v>
      </c>
    </row>
    <row r="24" spans="1:11" ht="12.75" customHeight="1">
      <c r="A24" s="2"/>
      <c r="B24" s="2">
        <v>20</v>
      </c>
      <c r="C24" s="2">
        <v>7</v>
      </c>
      <c r="D24" s="2">
        <f>VLOOKUP($C24,DEFINES!$A$2:$C$10,2,)</f>
        <v>1</v>
      </c>
      <c r="E24" s="2">
        <f>VLOOKUP($C24,DEFINES!$A$2:$C$10,3,)</f>
        <v>1</v>
      </c>
      <c r="F24" s="3" t="s">
        <v>233</v>
      </c>
      <c r="G24" s="3" t="s">
        <v>233</v>
      </c>
      <c r="H24" s="3" t="s">
        <v>233</v>
      </c>
      <c r="I24" s="6" t="s">
        <v>10</v>
      </c>
      <c r="J24" s="6" t="s">
        <v>11</v>
      </c>
      <c r="K24" s="6" t="s">
        <v>12</v>
      </c>
    </row>
    <row r="25" spans="1:11" ht="12.75" customHeight="1">
      <c r="A25" s="2"/>
      <c r="B25" s="2">
        <v>21</v>
      </c>
      <c r="C25" s="2">
        <v>7</v>
      </c>
      <c r="D25" s="2">
        <f>VLOOKUP($C25,DEFINES!$A$2:$C$10,2,)</f>
        <v>1</v>
      </c>
      <c r="E25" s="2">
        <f>VLOOKUP($C25,DEFINES!$A$2:$C$10,3,)</f>
        <v>1</v>
      </c>
      <c r="F25" s="3" t="s">
        <v>233</v>
      </c>
      <c r="G25" s="3" t="s">
        <v>233</v>
      </c>
      <c r="H25" s="3" t="s">
        <v>233</v>
      </c>
      <c r="I25" s="6" t="s">
        <v>10</v>
      </c>
      <c r="J25" s="6" t="s">
        <v>11</v>
      </c>
      <c r="K25" s="6" t="s">
        <v>12</v>
      </c>
    </row>
    <row r="26" spans="1:11" ht="12.75" customHeight="1">
      <c r="A26" s="2"/>
      <c r="B26" s="2">
        <v>22</v>
      </c>
      <c r="C26" s="2">
        <v>7</v>
      </c>
      <c r="D26" s="2">
        <f>VLOOKUP($C26,DEFINES!$A$2:$C$10,2,)</f>
        <v>1</v>
      </c>
      <c r="E26" s="2">
        <f>VLOOKUP($C26,DEFINES!$A$2:$C$10,3,)</f>
        <v>1</v>
      </c>
      <c r="F26" s="3" t="s">
        <v>233</v>
      </c>
      <c r="G26" s="3" t="s">
        <v>233</v>
      </c>
      <c r="H26" s="3" t="s">
        <v>233</v>
      </c>
      <c r="I26" s="6" t="s">
        <v>10</v>
      </c>
      <c r="J26" s="6" t="s">
        <v>11</v>
      </c>
      <c r="K26" s="6" t="s">
        <v>12</v>
      </c>
    </row>
    <row r="27" spans="1:11" ht="12.75" customHeight="1">
      <c r="A27" s="2"/>
      <c r="B27" s="2">
        <v>23</v>
      </c>
      <c r="C27" s="2">
        <v>7</v>
      </c>
      <c r="D27" s="2">
        <f>VLOOKUP($C27,DEFINES!$A$2:$C$10,2,)</f>
        <v>1</v>
      </c>
      <c r="E27" s="2">
        <f>VLOOKUP($C27,DEFINES!$A$2:$C$10,3,)</f>
        <v>1</v>
      </c>
      <c r="F27" s="3" t="s">
        <v>233</v>
      </c>
      <c r="G27" s="3" t="s">
        <v>233</v>
      </c>
      <c r="H27" s="3" t="s">
        <v>233</v>
      </c>
      <c r="I27" s="6" t="s">
        <v>10</v>
      </c>
      <c r="J27" s="6" t="s">
        <v>11</v>
      </c>
      <c r="K27" s="6" t="s">
        <v>12</v>
      </c>
    </row>
    <row r="28" spans="1:11" ht="12.75" customHeight="1">
      <c r="A28" s="2"/>
      <c r="B28" s="2">
        <v>24</v>
      </c>
      <c r="C28" s="2">
        <v>7</v>
      </c>
      <c r="D28" s="2">
        <f>VLOOKUP($C28,DEFINES!$A$2:$C$10,2,)</f>
        <v>1</v>
      </c>
      <c r="E28" s="2">
        <f>VLOOKUP($C28,DEFINES!$A$2:$C$10,3,)</f>
        <v>1</v>
      </c>
      <c r="F28" s="3" t="s">
        <v>233</v>
      </c>
      <c r="G28" s="3" t="s">
        <v>233</v>
      </c>
      <c r="H28" s="3" t="s">
        <v>233</v>
      </c>
      <c r="I28" s="6" t="s">
        <v>10</v>
      </c>
      <c r="J28" s="6" t="s">
        <v>11</v>
      </c>
      <c r="K28" s="6" t="s">
        <v>12</v>
      </c>
    </row>
    <row r="29" spans="1:11" ht="12.75" customHeight="1">
      <c r="A29" s="2"/>
      <c r="B29" s="2">
        <v>25</v>
      </c>
      <c r="C29" s="2">
        <v>7</v>
      </c>
      <c r="D29" s="2">
        <f>VLOOKUP($C29,DEFINES!$A$2:$C$10,2,)</f>
        <v>1</v>
      </c>
      <c r="E29" s="2">
        <f>VLOOKUP($C29,DEFINES!$A$2:$C$10,3,)</f>
        <v>1</v>
      </c>
      <c r="F29" s="3" t="s">
        <v>233</v>
      </c>
      <c r="G29" s="3" t="s">
        <v>233</v>
      </c>
      <c r="H29" s="3" t="s">
        <v>233</v>
      </c>
      <c r="I29" s="6" t="s">
        <v>10</v>
      </c>
      <c r="J29" s="6" t="s">
        <v>11</v>
      </c>
      <c r="K29" s="6" t="s">
        <v>12</v>
      </c>
    </row>
    <row r="30" spans="1:11">
      <c r="A30" s="2"/>
      <c r="B30" s="2"/>
      <c r="C30" s="2"/>
      <c r="D30" s="2"/>
      <c r="E30" s="2"/>
      <c r="F30" s="3"/>
      <c r="G30" s="3"/>
      <c r="H30" s="3"/>
      <c r="I30" s="6"/>
      <c r="J30" s="6"/>
      <c r="K30" s="6"/>
    </row>
    <row r="31" spans="1:11">
      <c r="A31" s="2"/>
      <c r="B31" s="2"/>
      <c r="C31" s="2"/>
      <c r="D31" s="2"/>
      <c r="E31" s="2"/>
      <c r="F31" s="3"/>
      <c r="G31" s="3"/>
      <c r="H31" s="3"/>
      <c r="I31" s="6"/>
      <c r="J31" s="6"/>
      <c r="K31" s="6"/>
    </row>
    <row r="32" spans="1:11">
      <c r="A32" s="2"/>
      <c r="B32" s="2"/>
      <c r="C32" s="2"/>
      <c r="D32" s="2"/>
      <c r="E32" s="2"/>
      <c r="F32" s="3"/>
      <c r="G32" s="3"/>
      <c r="H32" s="3"/>
      <c r="I32" s="6"/>
      <c r="J32" s="6"/>
      <c r="K32" s="6"/>
    </row>
    <row r="33" spans="1:11">
      <c r="A33" s="2"/>
      <c r="B33" s="2"/>
      <c r="C33" s="2"/>
      <c r="D33" s="2"/>
      <c r="E33" s="2"/>
      <c r="F33" s="3"/>
      <c r="G33" s="3"/>
      <c r="H33" s="3"/>
      <c r="I33" s="6"/>
      <c r="J33" s="6"/>
      <c r="K33" s="6"/>
    </row>
    <row r="34" spans="1:11">
      <c r="A34" s="2"/>
      <c r="B34" s="2"/>
      <c r="C34" s="2"/>
      <c r="D34" s="2"/>
      <c r="E34" s="2"/>
      <c r="F34" s="3"/>
      <c r="G34" s="3"/>
      <c r="H34" s="3"/>
      <c r="I34" s="6"/>
      <c r="J34" s="6"/>
      <c r="K34" s="6"/>
    </row>
    <row r="35" spans="1:11">
      <c r="A35" s="2"/>
      <c r="B35" s="2"/>
      <c r="C35" s="2"/>
      <c r="D35" s="2"/>
      <c r="E35" s="2"/>
      <c r="F35" s="3"/>
      <c r="G35" s="3"/>
      <c r="H35" s="3"/>
      <c r="I35" s="6"/>
      <c r="J35" s="6"/>
      <c r="K35" s="6"/>
    </row>
    <row r="36" spans="1:11">
      <c r="A36" s="2"/>
      <c r="B36" s="2"/>
      <c r="C36" s="2"/>
      <c r="D36" s="2"/>
      <c r="E36" s="2"/>
      <c r="F36" s="3"/>
      <c r="G36" s="3"/>
      <c r="H36" s="3"/>
      <c r="I36" s="6"/>
      <c r="J36" s="6"/>
      <c r="K36" s="6"/>
    </row>
    <row r="37" spans="1:11">
      <c r="A37" s="2"/>
      <c r="B37" s="2"/>
      <c r="C37" s="2"/>
      <c r="D37" s="2"/>
      <c r="E37" s="2"/>
      <c r="F37" s="3"/>
      <c r="G37" s="3"/>
      <c r="H37" s="3"/>
      <c r="I37" s="6"/>
      <c r="J37" s="6"/>
      <c r="K37" s="6"/>
    </row>
    <row r="38" spans="1:11">
      <c r="A38" s="2"/>
      <c r="B38" s="2"/>
      <c r="C38" s="2"/>
      <c r="D38" s="2"/>
      <c r="E38" s="2"/>
      <c r="F38" s="3"/>
      <c r="G38" s="3"/>
      <c r="H38" s="3"/>
      <c r="I38" s="6"/>
      <c r="J38" s="6"/>
      <c r="K38" s="6"/>
    </row>
    <row r="39" spans="1:11">
      <c r="A39" s="2"/>
      <c r="B39" s="2"/>
      <c r="C39" s="2"/>
      <c r="D39" s="2"/>
      <c r="E39" s="2"/>
      <c r="F39" s="3"/>
      <c r="G39" s="3"/>
      <c r="H39" s="3"/>
      <c r="I39" s="6"/>
      <c r="J39" s="6"/>
      <c r="K39" s="6"/>
    </row>
    <row r="40" spans="1:11">
      <c r="A40" s="2"/>
      <c r="B40" s="2"/>
      <c r="C40" s="2"/>
      <c r="D40" s="2"/>
      <c r="E40" s="2"/>
      <c r="F40" s="3"/>
      <c r="G40" s="3"/>
      <c r="H40" s="3"/>
      <c r="I40" s="6"/>
      <c r="J40" s="6"/>
      <c r="K40" s="6"/>
    </row>
    <row r="41" spans="1:11">
      <c r="A41" s="2"/>
      <c r="B41" s="2"/>
      <c r="C41" s="2"/>
      <c r="D41" s="2"/>
      <c r="E41" s="2"/>
      <c r="F41" s="3"/>
      <c r="G41" s="3"/>
      <c r="H41" s="3"/>
      <c r="I41" s="6"/>
      <c r="J41" s="6"/>
      <c r="K41" s="6"/>
    </row>
    <row r="42" spans="1:11">
      <c r="A42" s="2"/>
      <c r="B42" s="2"/>
      <c r="C42" s="2"/>
      <c r="D42" s="2"/>
      <c r="E42" s="2"/>
      <c r="F42" s="3"/>
      <c r="G42" s="3"/>
      <c r="H42" s="3"/>
      <c r="I42" s="6"/>
      <c r="J42" s="6"/>
      <c r="K42" s="6"/>
    </row>
    <row r="43" spans="1:11">
      <c r="A43" s="2"/>
      <c r="B43" s="2"/>
      <c r="C43" s="2"/>
      <c r="D43" s="2"/>
      <c r="E43" s="2"/>
      <c r="F43" s="3"/>
      <c r="G43" s="3"/>
      <c r="H43" s="3"/>
      <c r="I43" s="6"/>
      <c r="J43" s="6"/>
      <c r="K43" s="6"/>
    </row>
    <row r="44" spans="1:11">
      <c r="A44" s="2"/>
      <c r="B44" s="2"/>
      <c r="C44" s="2"/>
      <c r="D44" s="2"/>
      <c r="E44" s="2"/>
      <c r="F44" s="3"/>
      <c r="G44" s="3"/>
      <c r="H44" s="3"/>
      <c r="I44" s="6"/>
      <c r="J44" s="6"/>
      <c r="K44" s="6"/>
    </row>
    <row r="45" spans="1:11">
      <c r="A45" s="2"/>
      <c r="B45" s="2"/>
      <c r="C45" s="2"/>
      <c r="D45" s="2"/>
      <c r="E45" s="2"/>
      <c r="F45" s="3"/>
      <c r="G45" s="3"/>
      <c r="H45" s="3"/>
      <c r="I45" s="6"/>
      <c r="J45" s="6"/>
      <c r="K45" s="6"/>
    </row>
    <row r="46" spans="1:11">
      <c r="A46" s="2"/>
      <c r="B46" s="2"/>
      <c r="C46" s="2"/>
      <c r="D46" s="2"/>
      <c r="E46" s="2"/>
      <c r="F46" s="3"/>
      <c r="G46" s="3"/>
      <c r="H46" s="3"/>
      <c r="I46" s="6"/>
      <c r="J46" s="6"/>
      <c r="K46" s="6"/>
    </row>
    <row r="47" spans="1:11">
      <c r="A47" s="2"/>
      <c r="B47" s="2"/>
      <c r="C47" s="2"/>
      <c r="D47" s="2"/>
      <c r="E47" s="2"/>
      <c r="F47" s="3"/>
      <c r="G47" s="3"/>
      <c r="H47" s="3"/>
      <c r="I47" s="6"/>
      <c r="J47" s="6"/>
      <c r="K47" s="6"/>
    </row>
    <row r="48" spans="1:11">
      <c r="A48" s="2"/>
      <c r="B48" s="2"/>
      <c r="C48" s="2"/>
      <c r="D48" s="2"/>
      <c r="E48" s="2"/>
      <c r="F48" s="3"/>
      <c r="G48" s="3"/>
      <c r="H48" s="3"/>
      <c r="I48" s="6"/>
      <c r="J48" s="6"/>
      <c r="K48" s="6"/>
    </row>
    <row r="49" spans="1:11">
      <c r="A49" s="2"/>
      <c r="B49" s="2"/>
      <c r="C49" s="2"/>
      <c r="D49" s="2"/>
      <c r="E49" s="2"/>
      <c r="F49" s="3"/>
      <c r="G49" s="3"/>
      <c r="H49" s="3"/>
      <c r="I49" s="6"/>
      <c r="J49" s="6"/>
      <c r="K49" s="6"/>
    </row>
    <row r="50" spans="1:11">
      <c r="A50" s="2"/>
      <c r="B50" s="2"/>
      <c r="C50" s="2"/>
      <c r="D50" s="2"/>
      <c r="E50" s="2"/>
      <c r="F50" s="3"/>
      <c r="G50" s="3"/>
      <c r="H50" s="3"/>
      <c r="I50" s="6"/>
      <c r="J50" s="6"/>
      <c r="K50" s="6"/>
    </row>
    <row r="51" spans="1:11">
      <c r="A51" s="2"/>
      <c r="B51" s="2"/>
      <c r="C51" s="2"/>
      <c r="D51" s="2"/>
      <c r="E51" s="2"/>
      <c r="F51" s="3"/>
      <c r="G51" s="3"/>
      <c r="H51" s="3"/>
      <c r="I51" s="6"/>
      <c r="J51" s="6"/>
      <c r="K51" s="6"/>
    </row>
    <row r="52" spans="1:11">
      <c r="A52" s="2"/>
      <c r="B52" s="2"/>
      <c r="C52" s="2"/>
      <c r="D52" s="2"/>
      <c r="E52" s="2"/>
      <c r="F52" s="3"/>
      <c r="G52" s="3"/>
      <c r="H52" s="3"/>
      <c r="I52" s="6"/>
      <c r="J52" s="6"/>
      <c r="K52" s="6"/>
    </row>
    <row r="53" spans="1:11">
      <c r="A53" s="2"/>
      <c r="B53" s="2"/>
      <c r="C53" s="2"/>
      <c r="D53" s="2"/>
      <c r="E53" s="2"/>
      <c r="F53" s="3"/>
      <c r="G53" s="3"/>
      <c r="H53" s="3"/>
      <c r="I53" s="3"/>
      <c r="J53" s="3"/>
      <c r="K53" s="3"/>
    </row>
    <row r="54" spans="1:11">
      <c r="A54" s="2"/>
      <c r="B54" s="2"/>
      <c r="C54" s="2"/>
      <c r="D54" s="2"/>
      <c r="E54" s="2"/>
      <c r="F54" s="3"/>
      <c r="G54" s="3"/>
      <c r="H54" s="3"/>
      <c r="I54" s="3"/>
      <c r="J54" s="3"/>
      <c r="K54" s="3"/>
    </row>
    <row r="55" spans="1:11">
      <c r="A55" s="2"/>
    </row>
  </sheetData>
  <phoneticPr fontId="13" type="noConversion"/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6">
    <tabColor theme="1"/>
  </sheetPr>
  <dimension ref="A1:K55"/>
  <sheetViews>
    <sheetView workbookViewId="0">
      <pane xSplit="5" ySplit="3" topLeftCell="F4" activePane="bottomRight" state="frozen"/>
      <selection activeCell="F24" sqref="F24"/>
      <selection pane="topRight" activeCell="F24" sqref="F24"/>
      <selection pane="bottomLeft" activeCell="F24" sqref="F24"/>
      <selection pane="bottomRight" activeCell="F52" sqref="F52"/>
    </sheetView>
  </sheetViews>
  <sheetFormatPr defaultColWidth="11.453125" defaultRowHeight="12.5" outlineLevelCol="1"/>
  <cols>
    <col min="3" max="5" width="11.453125" customWidth="1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103010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>
        <v>103011</v>
      </c>
      <c r="B3" s="5"/>
      <c r="C3" s="2" t="s">
        <v>2</v>
      </c>
      <c r="D3" s="2" t="s">
        <v>2</v>
      </c>
      <c r="E3" s="2" t="s">
        <v>2</v>
      </c>
      <c r="F3" s="6" t="s">
        <v>183</v>
      </c>
      <c r="G3" s="6" t="s">
        <v>183</v>
      </c>
      <c r="H3" s="6" t="s">
        <v>183</v>
      </c>
      <c r="I3" s="7" t="s">
        <v>33</v>
      </c>
      <c r="J3" s="7" t="s">
        <v>34</v>
      </c>
      <c r="K3" s="7" t="s">
        <v>35</v>
      </c>
    </row>
    <row r="4" spans="1:11">
      <c r="A4" s="2">
        <v>103012</v>
      </c>
      <c r="B4" s="2">
        <v>1</v>
      </c>
      <c r="C4" s="2">
        <v>7</v>
      </c>
      <c r="D4" s="2">
        <f>VLOOKUP($C4,DEFINES!$A$2:$C$10,2,)</f>
        <v>1</v>
      </c>
      <c r="E4" s="2">
        <f>VLOOKUP($C4,DEFINES!$A$2:$C$10,3,)</f>
        <v>1</v>
      </c>
      <c r="F4" s="6" t="s">
        <v>184</v>
      </c>
      <c r="G4" s="6" t="s">
        <v>192</v>
      </c>
      <c r="H4" s="6" t="s">
        <v>192</v>
      </c>
      <c r="I4" s="6" t="s">
        <v>10</v>
      </c>
      <c r="J4" s="6" t="s">
        <v>11</v>
      </c>
      <c r="K4" s="6" t="s">
        <v>12</v>
      </c>
    </row>
    <row r="5" spans="1:11">
      <c r="A5" s="2">
        <v>103013</v>
      </c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6" t="s">
        <v>185</v>
      </c>
      <c r="G5" s="6" t="s">
        <v>193</v>
      </c>
      <c r="H5" s="6" t="s">
        <v>193</v>
      </c>
      <c r="I5" s="6" t="s">
        <v>10</v>
      </c>
      <c r="J5" s="6" t="s">
        <v>11</v>
      </c>
      <c r="K5" s="6" t="s">
        <v>12</v>
      </c>
    </row>
    <row r="6" spans="1:11">
      <c r="A6" s="2">
        <v>103014</v>
      </c>
      <c r="B6" s="2">
        <v>3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6" t="s">
        <v>186</v>
      </c>
      <c r="G6" s="6" t="s">
        <v>194</v>
      </c>
      <c r="H6" s="6" t="s">
        <v>194</v>
      </c>
      <c r="I6" s="6" t="s">
        <v>10</v>
      </c>
      <c r="J6" s="6" t="s">
        <v>11</v>
      </c>
      <c r="K6" s="6" t="s">
        <v>12</v>
      </c>
    </row>
    <row r="7" spans="1:11">
      <c r="A7" s="2">
        <v>103015</v>
      </c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6" t="s">
        <v>187</v>
      </c>
      <c r="G7" s="6" t="s">
        <v>195</v>
      </c>
      <c r="H7" s="6" t="s">
        <v>195</v>
      </c>
      <c r="I7" s="6" t="s">
        <v>10</v>
      </c>
      <c r="J7" s="6" t="s">
        <v>11</v>
      </c>
      <c r="K7" s="6" t="s">
        <v>12</v>
      </c>
    </row>
    <row r="8" spans="1:11">
      <c r="A8" s="2">
        <v>103016</v>
      </c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6" t="s">
        <v>188</v>
      </c>
      <c r="G8" s="6" t="s">
        <v>196</v>
      </c>
      <c r="H8" s="6" t="s">
        <v>196</v>
      </c>
      <c r="I8" s="6" t="s">
        <v>10</v>
      </c>
      <c r="J8" s="6" t="s">
        <v>11</v>
      </c>
      <c r="K8" s="6" t="s">
        <v>12</v>
      </c>
    </row>
    <row r="9" spans="1:11">
      <c r="A9" s="2">
        <v>103017</v>
      </c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6" t="s">
        <v>189</v>
      </c>
      <c r="G9" s="6" t="s">
        <v>197</v>
      </c>
      <c r="H9" s="6" t="s">
        <v>197</v>
      </c>
      <c r="I9" s="6" t="s">
        <v>10</v>
      </c>
      <c r="J9" s="6" t="s">
        <v>11</v>
      </c>
      <c r="K9" s="6" t="s">
        <v>12</v>
      </c>
    </row>
    <row r="10" spans="1:11">
      <c r="A10" s="2">
        <v>103018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190</v>
      </c>
      <c r="G10" s="6" t="s">
        <v>198</v>
      </c>
      <c r="H10" s="6" t="s">
        <v>198</v>
      </c>
      <c r="I10" s="6" t="s">
        <v>10</v>
      </c>
      <c r="J10" s="6" t="s">
        <v>11</v>
      </c>
      <c r="K10" s="6" t="s">
        <v>12</v>
      </c>
    </row>
    <row r="11" spans="1:11">
      <c r="A11" s="2">
        <v>103019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6" t="s">
        <v>191</v>
      </c>
      <c r="G11" s="6" t="s">
        <v>199</v>
      </c>
      <c r="H11" s="6" t="s">
        <v>199</v>
      </c>
      <c r="I11" s="6" t="s">
        <v>10</v>
      </c>
      <c r="J11" s="6" t="s">
        <v>11</v>
      </c>
      <c r="K11" s="6" t="s">
        <v>12</v>
      </c>
    </row>
    <row r="12" spans="1:11">
      <c r="A12" s="2"/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200</v>
      </c>
      <c r="G12" s="3" t="s">
        <v>200</v>
      </c>
      <c r="H12" s="3" t="s">
        <v>200</v>
      </c>
      <c r="I12" s="3" t="s">
        <v>200</v>
      </c>
      <c r="J12" s="3" t="s">
        <v>200</v>
      </c>
      <c r="K12" s="3" t="s">
        <v>200</v>
      </c>
    </row>
    <row r="13" spans="1:11">
      <c r="A13" s="2"/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200</v>
      </c>
      <c r="G13" s="3" t="s">
        <v>200</v>
      </c>
      <c r="H13" s="3" t="s">
        <v>200</v>
      </c>
      <c r="I13" s="3" t="s">
        <v>200</v>
      </c>
      <c r="J13" s="3" t="s">
        <v>200</v>
      </c>
      <c r="K13" s="3" t="s">
        <v>200</v>
      </c>
    </row>
    <row r="14" spans="1:11">
      <c r="A14" s="2"/>
      <c r="B14" s="10"/>
      <c r="C14" s="10"/>
      <c r="D14" s="10"/>
      <c r="E14" s="10"/>
      <c r="F14" s="12"/>
      <c r="G14" s="12"/>
      <c r="H14" s="12"/>
      <c r="I14" s="11"/>
      <c r="J14" s="11"/>
      <c r="K14" s="11"/>
    </row>
    <row r="15" spans="1:11">
      <c r="A15" s="10"/>
      <c r="B15" s="2"/>
      <c r="C15" s="2"/>
      <c r="D15" s="2"/>
      <c r="E15" s="2"/>
      <c r="F15" s="3"/>
      <c r="G15" s="3"/>
      <c r="H15" s="3"/>
      <c r="I15" s="6"/>
      <c r="J15" s="6"/>
      <c r="K15" s="6"/>
    </row>
    <row r="16" spans="1:11">
      <c r="A16" s="2"/>
      <c r="B16" s="2"/>
      <c r="C16" s="2"/>
      <c r="D16" s="2"/>
      <c r="E16" s="2"/>
      <c r="F16" s="3"/>
      <c r="G16" s="3"/>
      <c r="H16" s="3"/>
      <c r="I16" s="6"/>
      <c r="J16" s="6"/>
      <c r="K16" s="6"/>
    </row>
    <row r="17" spans="1:11">
      <c r="A17" s="2"/>
      <c r="B17" s="2"/>
      <c r="C17" s="2"/>
      <c r="D17" s="2"/>
      <c r="E17" s="2"/>
      <c r="F17" s="3"/>
      <c r="G17" s="3"/>
      <c r="H17" s="3"/>
      <c r="I17" s="6"/>
      <c r="J17" s="6"/>
      <c r="K17" s="6"/>
    </row>
    <row r="18" spans="1:11">
      <c r="A18" s="2"/>
      <c r="B18" s="2"/>
      <c r="C18" s="2"/>
      <c r="D18" s="2"/>
      <c r="E18" s="2"/>
      <c r="F18" s="3"/>
      <c r="G18" s="3"/>
      <c r="H18" s="3"/>
      <c r="I18" s="6"/>
      <c r="J18" s="6"/>
      <c r="K18" s="6"/>
    </row>
    <row r="19" spans="1:11">
      <c r="A19" s="2"/>
      <c r="B19" s="2"/>
      <c r="C19" s="2"/>
      <c r="D19" s="2"/>
      <c r="E19" s="2"/>
      <c r="F19" s="3"/>
      <c r="G19" s="3"/>
      <c r="H19" s="3"/>
      <c r="I19" s="6"/>
      <c r="J19" s="6"/>
      <c r="K19" s="6"/>
    </row>
    <row r="20" spans="1:11">
      <c r="A20" s="2"/>
      <c r="B20" s="2"/>
      <c r="C20" s="2"/>
      <c r="D20" s="2"/>
      <c r="E20" s="2"/>
      <c r="F20" s="3"/>
      <c r="G20" s="3"/>
      <c r="H20" s="3"/>
      <c r="I20" s="6"/>
      <c r="J20" s="6"/>
      <c r="K20" s="6"/>
    </row>
    <row r="21" spans="1:11">
      <c r="A21" s="2"/>
      <c r="B21" s="2"/>
      <c r="C21" s="2"/>
      <c r="D21" s="2"/>
      <c r="E21" s="2"/>
      <c r="F21" s="3"/>
      <c r="G21" s="3"/>
      <c r="H21" s="3"/>
      <c r="I21" s="6"/>
      <c r="J21" s="6"/>
      <c r="K21" s="6"/>
    </row>
    <row r="22" spans="1:11">
      <c r="A22" s="2"/>
      <c r="B22" s="2"/>
      <c r="C22" s="2"/>
      <c r="D22" s="2"/>
      <c r="E22" s="2"/>
      <c r="F22" s="3"/>
      <c r="G22" s="3"/>
      <c r="H22" s="3"/>
      <c r="I22" s="6"/>
      <c r="J22" s="6"/>
      <c r="K22" s="6"/>
    </row>
    <row r="23" spans="1:11">
      <c r="A23" s="2"/>
      <c r="B23" s="2"/>
      <c r="C23" s="2"/>
      <c r="D23" s="2"/>
      <c r="E23" s="2"/>
      <c r="F23" s="3"/>
      <c r="G23" s="3"/>
      <c r="H23" s="3"/>
      <c r="I23" s="6"/>
      <c r="J23" s="6"/>
      <c r="K23" s="6"/>
    </row>
    <row r="24" spans="1:11">
      <c r="A24" s="2"/>
      <c r="B24" s="2"/>
      <c r="C24" s="2"/>
      <c r="D24" s="2"/>
      <c r="E24" s="2"/>
      <c r="F24" s="3"/>
      <c r="G24" s="3"/>
      <c r="H24" s="3"/>
      <c r="I24" s="6"/>
      <c r="J24" s="6"/>
      <c r="K24" s="6"/>
    </row>
    <row r="25" spans="1:11">
      <c r="A25" s="2"/>
      <c r="B25" s="2"/>
      <c r="C25" s="2"/>
      <c r="D25" s="2"/>
      <c r="E25" s="2"/>
      <c r="F25" s="3"/>
      <c r="G25" s="3"/>
      <c r="H25" s="3"/>
      <c r="I25" s="6"/>
      <c r="J25" s="6"/>
      <c r="K25" s="6"/>
    </row>
    <row r="26" spans="1:11">
      <c r="A26" s="2"/>
      <c r="B26" s="2"/>
      <c r="C26" s="2"/>
      <c r="D26" s="2"/>
      <c r="E26" s="2"/>
      <c r="F26" s="3"/>
      <c r="G26" s="3"/>
      <c r="H26" s="3"/>
      <c r="I26" s="6"/>
      <c r="J26" s="6"/>
      <c r="K26" s="6"/>
    </row>
    <row r="27" spans="1:11">
      <c r="A27" s="2"/>
      <c r="B27" s="2"/>
      <c r="C27" s="2"/>
      <c r="D27" s="2"/>
      <c r="E27" s="2"/>
      <c r="F27" s="3"/>
      <c r="G27" s="3"/>
      <c r="H27" s="3"/>
      <c r="I27" s="6"/>
      <c r="J27" s="6"/>
      <c r="K27" s="6"/>
    </row>
    <row r="28" spans="1:11">
      <c r="A28" s="2"/>
      <c r="B28" s="2"/>
      <c r="C28" s="2"/>
      <c r="D28" s="2"/>
      <c r="E28" s="2"/>
      <c r="F28" s="3"/>
      <c r="G28" s="3"/>
      <c r="H28" s="3"/>
      <c r="I28" s="6"/>
      <c r="J28" s="6"/>
      <c r="K28" s="6"/>
    </row>
    <row r="29" spans="1:11">
      <c r="A29" s="2"/>
      <c r="B29" s="2"/>
      <c r="C29" s="2"/>
      <c r="D29" s="2"/>
      <c r="E29" s="2"/>
      <c r="F29" s="3"/>
      <c r="G29" s="3"/>
      <c r="H29" s="3"/>
      <c r="I29" s="6"/>
      <c r="J29" s="6"/>
      <c r="K29" s="6"/>
    </row>
    <row r="30" spans="1:11">
      <c r="A30" s="2"/>
      <c r="B30" s="2"/>
      <c r="C30" s="2"/>
      <c r="D30" s="2"/>
      <c r="E30" s="2"/>
      <c r="F30" s="3"/>
      <c r="G30" s="3"/>
      <c r="H30" s="3"/>
      <c r="I30" s="6"/>
      <c r="J30" s="6"/>
      <c r="K30" s="6"/>
    </row>
    <row r="31" spans="1:11">
      <c r="A31" s="2"/>
      <c r="B31" s="2"/>
      <c r="C31" s="2"/>
      <c r="D31" s="2"/>
      <c r="E31" s="2"/>
      <c r="F31" s="3"/>
      <c r="G31" s="3"/>
      <c r="H31" s="3"/>
      <c r="I31" s="6"/>
      <c r="J31" s="6"/>
      <c r="K31" s="6"/>
    </row>
    <row r="32" spans="1:11">
      <c r="A32" s="2"/>
      <c r="B32" s="2"/>
      <c r="C32" s="2"/>
      <c r="D32" s="2"/>
      <c r="E32" s="2"/>
      <c r="F32" s="3"/>
      <c r="G32" s="3"/>
      <c r="H32" s="3"/>
      <c r="I32" s="6"/>
      <c r="J32" s="6"/>
      <c r="K32" s="6"/>
    </row>
    <row r="33" spans="1:11">
      <c r="A33" s="2"/>
      <c r="B33" s="2"/>
      <c r="C33" s="2"/>
      <c r="D33" s="2"/>
      <c r="E33" s="2"/>
      <c r="F33" s="3"/>
      <c r="G33" s="3"/>
      <c r="H33" s="3"/>
      <c r="I33" s="6"/>
      <c r="J33" s="6"/>
      <c r="K33" s="6"/>
    </row>
    <row r="34" spans="1:11">
      <c r="A34" s="2"/>
      <c r="B34" s="2"/>
      <c r="C34" s="2"/>
      <c r="D34" s="2"/>
      <c r="E34" s="2"/>
      <c r="F34" s="3"/>
      <c r="G34" s="3"/>
      <c r="H34" s="3"/>
      <c r="I34" s="6"/>
      <c r="J34" s="6"/>
      <c r="K34" s="6"/>
    </row>
    <row r="35" spans="1:11">
      <c r="A35" s="2"/>
      <c r="B35" s="2"/>
      <c r="C35" s="2"/>
      <c r="D35" s="2"/>
      <c r="E35" s="2"/>
      <c r="F35" s="3"/>
      <c r="G35" s="3"/>
      <c r="H35" s="3"/>
      <c r="I35" s="6"/>
      <c r="J35" s="6"/>
      <c r="K35" s="6"/>
    </row>
    <row r="36" spans="1:11">
      <c r="A36" s="2"/>
      <c r="B36" s="2"/>
      <c r="C36" s="2"/>
      <c r="D36" s="2"/>
      <c r="E36" s="2"/>
      <c r="F36" s="3"/>
      <c r="G36" s="3"/>
      <c r="H36" s="3"/>
      <c r="I36" s="6"/>
      <c r="J36" s="6"/>
      <c r="K36" s="6"/>
    </row>
    <row r="37" spans="1:11">
      <c r="A37" s="2"/>
      <c r="B37" s="2"/>
      <c r="C37" s="2"/>
      <c r="D37" s="2"/>
      <c r="E37" s="2"/>
      <c r="F37" s="3"/>
      <c r="G37" s="3"/>
      <c r="H37" s="3"/>
      <c r="I37" s="6"/>
      <c r="J37" s="6"/>
      <c r="K37" s="6"/>
    </row>
    <row r="38" spans="1:11">
      <c r="A38" s="2"/>
      <c r="B38" s="2"/>
      <c r="C38" s="2"/>
      <c r="D38" s="2"/>
      <c r="E38" s="2"/>
      <c r="F38" s="3"/>
      <c r="G38" s="3"/>
      <c r="H38" s="3"/>
      <c r="I38" s="6"/>
      <c r="J38" s="6"/>
      <c r="K38" s="6"/>
    </row>
    <row r="39" spans="1:11">
      <c r="A39" s="2"/>
      <c r="B39" s="2"/>
      <c r="C39" s="2"/>
      <c r="D39" s="2"/>
      <c r="E39" s="2"/>
      <c r="F39" s="3"/>
      <c r="G39" s="3"/>
      <c r="H39" s="3"/>
      <c r="I39" s="6"/>
      <c r="J39" s="6"/>
      <c r="K39" s="6"/>
    </row>
    <row r="40" spans="1:11">
      <c r="A40" s="2"/>
      <c r="B40" s="2"/>
      <c r="C40" s="2"/>
      <c r="D40" s="2"/>
      <c r="E40" s="2"/>
      <c r="F40" s="3"/>
      <c r="G40" s="3"/>
      <c r="H40" s="3"/>
      <c r="I40" s="6"/>
      <c r="J40" s="6"/>
      <c r="K40" s="6"/>
    </row>
    <row r="41" spans="1:11">
      <c r="A41" s="2"/>
      <c r="B41" s="2"/>
      <c r="C41" s="2"/>
      <c r="D41" s="2"/>
      <c r="E41" s="2"/>
      <c r="F41" s="3"/>
      <c r="G41" s="3"/>
      <c r="H41" s="3"/>
      <c r="I41" s="6"/>
      <c r="J41" s="6"/>
      <c r="K41" s="6"/>
    </row>
    <row r="42" spans="1:11">
      <c r="A42" s="2"/>
      <c r="B42" s="2"/>
      <c r="C42" s="2"/>
      <c r="D42" s="2"/>
      <c r="E42" s="2"/>
      <c r="F42" s="3"/>
      <c r="G42" s="3"/>
      <c r="H42" s="3"/>
      <c r="I42" s="6"/>
      <c r="J42" s="6"/>
      <c r="K42" s="6"/>
    </row>
    <row r="43" spans="1:11">
      <c r="A43" s="2"/>
      <c r="B43" s="2"/>
      <c r="C43" s="2"/>
      <c r="D43" s="2"/>
      <c r="E43" s="2"/>
      <c r="F43" s="3"/>
      <c r="G43" s="3"/>
      <c r="H43" s="3"/>
      <c r="I43" s="6"/>
      <c r="J43" s="6"/>
      <c r="K43" s="6"/>
    </row>
    <row r="44" spans="1:11">
      <c r="A44" s="2"/>
      <c r="B44" s="2"/>
      <c r="C44" s="2"/>
      <c r="D44" s="2"/>
      <c r="E44" s="2"/>
      <c r="F44" s="3"/>
      <c r="G44" s="3"/>
      <c r="H44" s="3"/>
      <c r="I44" s="6"/>
      <c r="J44" s="6"/>
      <c r="K44" s="6"/>
    </row>
    <row r="45" spans="1:11">
      <c r="A45" s="2"/>
      <c r="B45" s="2"/>
      <c r="C45" s="2"/>
      <c r="D45" s="2"/>
      <c r="E45" s="2"/>
      <c r="F45" s="3"/>
      <c r="G45" s="3"/>
      <c r="H45" s="3"/>
      <c r="I45" s="6"/>
      <c r="J45" s="6"/>
      <c r="K45" s="6"/>
    </row>
    <row r="46" spans="1:11">
      <c r="A46" s="2"/>
      <c r="B46" s="2"/>
      <c r="C46" s="2"/>
      <c r="D46" s="2"/>
      <c r="E46" s="2"/>
      <c r="F46" s="3"/>
      <c r="G46" s="3"/>
      <c r="H46" s="3"/>
      <c r="I46" s="6"/>
      <c r="J46" s="6"/>
      <c r="K46" s="6"/>
    </row>
    <row r="47" spans="1:11">
      <c r="A47" s="2"/>
      <c r="B47" s="2"/>
      <c r="C47" s="2"/>
      <c r="D47" s="2"/>
      <c r="E47" s="2"/>
      <c r="F47" s="3"/>
      <c r="G47" s="3"/>
      <c r="H47" s="3"/>
      <c r="I47" s="6"/>
      <c r="J47" s="6"/>
      <c r="K47" s="6"/>
    </row>
    <row r="48" spans="1:11">
      <c r="A48" s="2"/>
      <c r="B48" s="2"/>
      <c r="C48" s="2"/>
      <c r="D48" s="2"/>
      <c r="E48" s="2"/>
      <c r="F48" s="3"/>
      <c r="G48" s="3"/>
      <c r="H48" s="3"/>
      <c r="I48" s="6"/>
      <c r="J48" s="6"/>
      <c r="K48" s="6"/>
    </row>
    <row r="49" spans="1:11">
      <c r="A49" s="2"/>
      <c r="B49" s="2"/>
      <c r="C49" s="2"/>
      <c r="D49" s="2"/>
      <c r="E49" s="2"/>
      <c r="F49" s="3"/>
      <c r="G49" s="3"/>
      <c r="H49" s="3"/>
      <c r="I49" s="6"/>
      <c r="J49" s="6"/>
      <c r="K49" s="6"/>
    </row>
    <row r="50" spans="1:11">
      <c r="A50" s="2"/>
      <c r="B50" s="2"/>
      <c r="C50" s="2"/>
      <c r="D50" s="2"/>
      <c r="E50" s="2"/>
      <c r="F50" s="3"/>
      <c r="G50" s="3"/>
      <c r="H50" s="3"/>
      <c r="I50" s="6"/>
      <c r="J50" s="6"/>
      <c r="K50" s="6"/>
    </row>
    <row r="51" spans="1:11">
      <c r="A51" s="2"/>
      <c r="B51" s="2"/>
      <c r="C51" s="2"/>
      <c r="D51" s="2"/>
      <c r="E51" s="2"/>
      <c r="F51" s="3"/>
      <c r="G51" s="3"/>
      <c r="H51" s="3"/>
      <c r="I51" s="6"/>
      <c r="J51" s="6"/>
      <c r="K51" s="6"/>
    </row>
    <row r="52" spans="1:11">
      <c r="A52" s="2"/>
      <c r="B52" s="2"/>
      <c r="C52" s="2"/>
      <c r="D52" s="2"/>
      <c r="E52" s="2"/>
      <c r="F52" s="3"/>
      <c r="G52" s="3"/>
      <c r="H52" s="3"/>
      <c r="I52" s="6"/>
      <c r="J52" s="6"/>
      <c r="K52" s="6"/>
    </row>
    <row r="53" spans="1:11">
      <c r="A53" s="2"/>
      <c r="B53" s="2"/>
      <c r="C53" s="2"/>
      <c r="D53" s="2"/>
      <c r="E53" s="2"/>
      <c r="F53" s="3"/>
      <c r="G53" s="3"/>
      <c r="H53" s="3"/>
      <c r="I53" s="3"/>
      <c r="J53" s="3"/>
      <c r="K53" s="3"/>
    </row>
    <row r="54" spans="1:11">
      <c r="A54" s="2"/>
      <c r="B54" s="2"/>
      <c r="C54" s="2"/>
      <c r="D54" s="2"/>
      <c r="E54" s="2"/>
      <c r="F54" s="3"/>
      <c r="G54" s="3"/>
      <c r="H54" s="3"/>
      <c r="I54" s="3"/>
      <c r="J54" s="3"/>
      <c r="K54" s="3"/>
    </row>
    <row r="55" spans="1:11">
      <c r="A55" s="2"/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37">
    <tabColor theme="1"/>
  </sheetPr>
  <dimension ref="A1:L33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F52" sqref="F52"/>
    </sheetView>
  </sheetViews>
  <sheetFormatPr defaultColWidth="11.453125" defaultRowHeight="12.5" outlineLevelCol="1"/>
  <cols>
    <col min="3" max="5" width="11.453125" outlineLevel="1"/>
    <col min="6" max="11" width="60.7265625" customWidth="1"/>
  </cols>
  <sheetData>
    <row r="1" spans="1:12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  <c r="L1" s="14"/>
    </row>
    <row r="2" spans="1:12">
      <c r="A2" s="2">
        <v>103020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  <c r="L2" s="15"/>
    </row>
    <row r="3" spans="1:12">
      <c r="A3" s="2">
        <v>103021</v>
      </c>
      <c r="B3" s="2" t="s">
        <v>2</v>
      </c>
      <c r="C3" s="2" t="s">
        <v>2</v>
      </c>
      <c r="D3" s="2" t="s">
        <v>2</v>
      </c>
      <c r="E3" s="2" t="s">
        <v>2</v>
      </c>
      <c r="F3" s="6" t="s">
        <v>165</v>
      </c>
      <c r="G3" s="6" t="s">
        <v>166</v>
      </c>
      <c r="H3" s="6" t="s">
        <v>166</v>
      </c>
      <c r="I3" s="5" t="s">
        <v>26</v>
      </c>
      <c r="J3" s="5" t="s">
        <v>27</v>
      </c>
      <c r="K3" s="5" t="s">
        <v>28</v>
      </c>
    </row>
    <row r="4" spans="1:12">
      <c r="A4" s="2">
        <v>103022</v>
      </c>
      <c r="B4" s="2">
        <v>1</v>
      </c>
      <c r="C4" s="2">
        <v>7</v>
      </c>
      <c r="D4" s="2">
        <f>VLOOKUP($C4,DEFINES!$A$2:$C$10,2,)</f>
        <v>1</v>
      </c>
      <c r="E4" s="2">
        <f>VLOOKUP($C4,DEFINES!$A$2:$C$10,3,)</f>
        <v>1</v>
      </c>
      <c r="F4" s="6" t="s">
        <v>135</v>
      </c>
      <c r="G4" s="6" t="s">
        <v>86</v>
      </c>
      <c r="H4" s="6" t="s">
        <v>86</v>
      </c>
      <c r="I4" s="6" t="s">
        <v>10</v>
      </c>
      <c r="J4" s="6" t="s">
        <v>11</v>
      </c>
      <c r="K4" s="6" t="s">
        <v>12</v>
      </c>
    </row>
    <row r="5" spans="1:12">
      <c r="A5" s="2">
        <v>103023</v>
      </c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3" t="s">
        <v>134</v>
      </c>
      <c r="G5" s="3" t="s">
        <v>87</v>
      </c>
      <c r="H5" s="3" t="s">
        <v>87</v>
      </c>
      <c r="I5" s="6" t="s">
        <v>10</v>
      </c>
      <c r="J5" s="6" t="s">
        <v>11</v>
      </c>
      <c r="K5" s="6" t="s">
        <v>12</v>
      </c>
    </row>
    <row r="6" spans="1:12">
      <c r="A6" s="2">
        <v>103024</v>
      </c>
      <c r="B6" s="2">
        <v>3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3" t="s">
        <v>88</v>
      </c>
      <c r="G6" s="3" t="s">
        <v>89</v>
      </c>
      <c r="H6" s="3" t="s">
        <v>89</v>
      </c>
      <c r="I6" s="6" t="s">
        <v>10</v>
      </c>
      <c r="J6" s="6" t="s">
        <v>11</v>
      </c>
      <c r="K6" s="6" t="s">
        <v>12</v>
      </c>
    </row>
    <row r="7" spans="1:12">
      <c r="A7" s="2">
        <v>103025</v>
      </c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3" t="s">
        <v>133</v>
      </c>
      <c r="G7" s="3" t="s">
        <v>90</v>
      </c>
      <c r="H7" s="3" t="s">
        <v>90</v>
      </c>
      <c r="I7" s="6" t="s">
        <v>10</v>
      </c>
      <c r="J7" s="6" t="s">
        <v>11</v>
      </c>
      <c r="K7" s="6" t="s">
        <v>12</v>
      </c>
    </row>
    <row r="8" spans="1:12">
      <c r="A8" s="2">
        <v>103026</v>
      </c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3" t="s">
        <v>132</v>
      </c>
      <c r="G8" s="3" t="s">
        <v>91</v>
      </c>
      <c r="H8" s="3" t="s">
        <v>91</v>
      </c>
      <c r="I8" s="6" t="s">
        <v>10</v>
      </c>
      <c r="J8" s="6" t="s">
        <v>11</v>
      </c>
      <c r="K8" s="6" t="s">
        <v>12</v>
      </c>
    </row>
    <row r="9" spans="1:12">
      <c r="A9" s="2">
        <v>103027</v>
      </c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3" t="s">
        <v>131</v>
      </c>
      <c r="G9" s="3" t="s">
        <v>92</v>
      </c>
      <c r="H9" s="3" t="s">
        <v>92</v>
      </c>
      <c r="I9" s="6" t="s">
        <v>10</v>
      </c>
      <c r="J9" s="6" t="s">
        <v>11</v>
      </c>
      <c r="K9" s="6" t="s">
        <v>12</v>
      </c>
    </row>
    <row r="10" spans="1:12">
      <c r="A10" s="2">
        <v>103028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130</v>
      </c>
      <c r="G10" s="3" t="s">
        <v>93</v>
      </c>
      <c r="H10" s="3" t="s">
        <v>93</v>
      </c>
      <c r="I10" s="6" t="s">
        <v>10</v>
      </c>
      <c r="J10" s="6" t="s">
        <v>11</v>
      </c>
      <c r="K10" s="6" t="s">
        <v>12</v>
      </c>
    </row>
    <row r="11" spans="1:12">
      <c r="A11" s="2">
        <v>103029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3" t="s">
        <v>129</v>
      </c>
      <c r="G11" s="3" t="s">
        <v>94</v>
      </c>
      <c r="H11" s="3" t="s">
        <v>94</v>
      </c>
      <c r="I11" s="6" t="s">
        <v>10</v>
      </c>
      <c r="J11" s="6" t="s">
        <v>11</v>
      </c>
      <c r="K11" s="6" t="s">
        <v>12</v>
      </c>
    </row>
    <row r="12" spans="1:12">
      <c r="A12" s="2"/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128</v>
      </c>
      <c r="G12" s="3" t="s">
        <v>95</v>
      </c>
      <c r="H12" s="3" t="s">
        <v>95</v>
      </c>
      <c r="I12" s="6" t="s">
        <v>10</v>
      </c>
      <c r="J12" s="6" t="s">
        <v>11</v>
      </c>
      <c r="K12" s="6" t="s">
        <v>12</v>
      </c>
    </row>
    <row r="13" spans="1:12">
      <c r="A13" s="2"/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127</v>
      </c>
      <c r="G13" s="3" t="s">
        <v>96</v>
      </c>
      <c r="H13" s="3" t="s">
        <v>96</v>
      </c>
      <c r="I13" s="6" t="s">
        <v>10</v>
      </c>
      <c r="J13" s="6" t="s">
        <v>11</v>
      </c>
      <c r="K13" s="6" t="s">
        <v>12</v>
      </c>
    </row>
    <row r="14" spans="1:12">
      <c r="A14" s="2"/>
      <c r="B14" s="10">
        <v>11</v>
      </c>
      <c r="C14" s="10">
        <v>7</v>
      </c>
      <c r="D14" s="2">
        <f>VLOOKUP($C14,DEFINES!$A$2:$C$10,2,)</f>
        <v>1</v>
      </c>
      <c r="E14" s="2">
        <f>VLOOKUP($C14,DEFINES!$A$2:$C$10,3,)</f>
        <v>1</v>
      </c>
      <c r="F14" s="12" t="s">
        <v>126</v>
      </c>
      <c r="G14" s="12" t="s">
        <v>97</v>
      </c>
      <c r="H14" s="12" t="s">
        <v>97</v>
      </c>
      <c r="I14" s="11" t="s">
        <v>10</v>
      </c>
      <c r="J14" s="11" t="s">
        <v>11</v>
      </c>
      <c r="K14" s="11" t="s">
        <v>12</v>
      </c>
    </row>
    <row r="15" spans="1:12">
      <c r="A15" s="10"/>
      <c r="B15" s="2">
        <v>12</v>
      </c>
      <c r="C15" s="2">
        <v>7</v>
      </c>
      <c r="D15" s="2">
        <f>VLOOKUP($C15,DEFINES!$A$2:$C$10,2,)</f>
        <v>1</v>
      </c>
      <c r="E15" s="2">
        <f>VLOOKUP($C15,DEFINES!$A$2:$C$10,3,)</f>
        <v>1</v>
      </c>
      <c r="F15" s="3" t="s">
        <v>98</v>
      </c>
      <c r="G15" s="3" t="s">
        <v>99</v>
      </c>
      <c r="H15" s="3" t="s">
        <v>99</v>
      </c>
      <c r="I15" s="6" t="s">
        <v>10</v>
      </c>
      <c r="J15" s="6" t="s">
        <v>11</v>
      </c>
      <c r="K15" s="6" t="s">
        <v>12</v>
      </c>
    </row>
    <row r="16" spans="1:12">
      <c r="A16" s="2"/>
      <c r="B16" s="2">
        <v>13</v>
      </c>
      <c r="C16" s="2">
        <v>7</v>
      </c>
      <c r="D16" s="2">
        <f>VLOOKUP($C16,DEFINES!$A$2:$C$10,2,)</f>
        <v>1</v>
      </c>
      <c r="E16" s="2">
        <f>VLOOKUP($C16,DEFINES!$A$2:$C$10,3,)</f>
        <v>1</v>
      </c>
      <c r="F16" s="3" t="s">
        <v>125</v>
      </c>
      <c r="G16" s="3" t="s">
        <v>100</v>
      </c>
      <c r="H16" s="3" t="s">
        <v>100</v>
      </c>
      <c r="I16" s="6" t="s">
        <v>10</v>
      </c>
      <c r="J16" s="6" t="s">
        <v>11</v>
      </c>
      <c r="K16" s="6" t="s">
        <v>12</v>
      </c>
    </row>
    <row r="17" spans="1:11">
      <c r="A17" s="2"/>
      <c r="B17" s="2">
        <v>14</v>
      </c>
      <c r="C17" s="2">
        <v>7</v>
      </c>
      <c r="D17" s="2">
        <f>VLOOKUP($C17,DEFINES!$A$2:$C$10,2,)</f>
        <v>1</v>
      </c>
      <c r="E17" s="2">
        <f>VLOOKUP($C17,DEFINES!$A$2:$C$10,3,)</f>
        <v>1</v>
      </c>
      <c r="F17" s="3" t="s">
        <v>124</v>
      </c>
      <c r="G17" s="3" t="s">
        <v>101</v>
      </c>
      <c r="H17" s="3" t="s">
        <v>101</v>
      </c>
      <c r="I17" s="6" t="s">
        <v>10</v>
      </c>
      <c r="J17" s="6" t="s">
        <v>11</v>
      </c>
      <c r="K17" s="6" t="s">
        <v>12</v>
      </c>
    </row>
    <row r="18" spans="1:11">
      <c r="A18" s="2"/>
      <c r="B18" s="2">
        <v>15</v>
      </c>
      <c r="C18" s="2">
        <v>7</v>
      </c>
      <c r="D18" s="2">
        <f>VLOOKUP($C18,DEFINES!$A$2:$C$10,2,)</f>
        <v>1</v>
      </c>
      <c r="E18" s="2">
        <f>VLOOKUP($C18,DEFINES!$A$2:$C$10,3,)</f>
        <v>1</v>
      </c>
      <c r="F18" s="3" t="s">
        <v>123</v>
      </c>
      <c r="G18" s="3" t="s">
        <v>102</v>
      </c>
      <c r="H18" s="3" t="s">
        <v>102</v>
      </c>
      <c r="I18" s="6" t="s">
        <v>10</v>
      </c>
      <c r="J18" s="6" t="s">
        <v>11</v>
      </c>
      <c r="K18" s="6" t="s">
        <v>12</v>
      </c>
    </row>
    <row r="19" spans="1:11">
      <c r="A19" s="2"/>
      <c r="B19" s="2">
        <v>16</v>
      </c>
      <c r="C19" s="2">
        <v>7</v>
      </c>
      <c r="D19" s="2">
        <f>VLOOKUP($C19,DEFINES!$A$2:$C$10,2,)</f>
        <v>1</v>
      </c>
      <c r="E19" s="2">
        <f>VLOOKUP($C19,DEFINES!$A$2:$C$10,3,)</f>
        <v>1</v>
      </c>
      <c r="F19" s="3" t="s">
        <v>122</v>
      </c>
      <c r="G19" s="3" t="s">
        <v>103</v>
      </c>
      <c r="H19" s="3" t="s">
        <v>103</v>
      </c>
      <c r="I19" s="6" t="s">
        <v>10</v>
      </c>
      <c r="J19" s="6" t="s">
        <v>11</v>
      </c>
      <c r="K19" s="6" t="s">
        <v>12</v>
      </c>
    </row>
    <row r="20" spans="1:11">
      <c r="A20" s="2"/>
      <c r="B20" s="2">
        <v>17</v>
      </c>
      <c r="C20" s="2">
        <v>7</v>
      </c>
      <c r="D20" s="2">
        <f>VLOOKUP($C20,DEFINES!$A$2:$C$10,2,)</f>
        <v>1</v>
      </c>
      <c r="E20" s="2">
        <f>VLOOKUP($C20,DEFINES!$A$2:$C$10,3,)</f>
        <v>1</v>
      </c>
      <c r="F20" s="3" t="s">
        <v>121</v>
      </c>
      <c r="G20" s="3" t="s">
        <v>104</v>
      </c>
      <c r="H20" s="3" t="s">
        <v>104</v>
      </c>
      <c r="I20" s="6" t="s">
        <v>10</v>
      </c>
      <c r="J20" s="6" t="s">
        <v>11</v>
      </c>
      <c r="K20" s="6" t="s">
        <v>12</v>
      </c>
    </row>
    <row r="21" spans="1:11">
      <c r="A21" s="2"/>
      <c r="B21" s="2">
        <v>18</v>
      </c>
      <c r="C21" s="2">
        <v>7</v>
      </c>
      <c r="D21" s="2">
        <f>VLOOKUP($C21,DEFINES!$A$2:$C$10,2,)</f>
        <v>1</v>
      </c>
      <c r="E21" s="2">
        <f>VLOOKUP($C21,DEFINES!$A$2:$C$10,3,)</f>
        <v>1</v>
      </c>
      <c r="F21" s="3" t="s">
        <v>120</v>
      </c>
      <c r="G21" s="3" t="s">
        <v>105</v>
      </c>
      <c r="H21" s="3" t="s">
        <v>105</v>
      </c>
      <c r="I21" s="6" t="s">
        <v>10</v>
      </c>
      <c r="J21" s="6" t="s">
        <v>11</v>
      </c>
      <c r="K21" s="6" t="s">
        <v>12</v>
      </c>
    </row>
    <row r="22" spans="1:11">
      <c r="A22" s="2"/>
      <c r="B22" s="2">
        <v>19</v>
      </c>
      <c r="C22" s="2">
        <v>7</v>
      </c>
      <c r="D22" s="2">
        <f>VLOOKUP($C22,DEFINES!$A$2:$C$10,2,)</f>
        <v>1</v>
      </c>
      <c r="E22" s="2">
        <f>VLOOKUP($C22,DEFINES!$A$2:$C$10,3,)</f>
        <v>1</v>
      </c>
      <c r="F22" s="3" t="s">
        <v>106</v>
      </c>
      <c r="G22" s="3" t="s">
        <v>107</v>
      </c>
      <c r="H22" s="3" t="s">
        <v>107</v>
      </c>
      <c r="I22" s="6" t="s">
        <v>10</v>
      </c>
      <c r="J22" s="6" t="s">
        <v>11</v>
      </c>
      <c r="K22" s="6" t="s">
        <v>12</v>
      </c>
    </row>
    <row r="23" spans="1:11">
      <c r="A23" s="2"/>
      <c r="B23" s="2">
        <v>20</v>
      </c>
      <c r="C23" s="2">
        <v>7</v>
      </c>
      <c r="D23" s="2">
        <f>VLOOKUP($C23,DEFINES!$A$2:$C$10,2,)</f>
        <v>1</v>
      </c>
      <c r="E23" s="2">
        <f>VLOOKUP($C23,DEFINES!$A$2:$C$10,3,)</f>
        <v>1</v>
      </c>
      <c r="F23" s="3" t="s">
        <v>119</v>
      </c>
      <c r="G23" s="3" t="s">
        <v>108</v>
      </c>
      <c r="H23" s="3" t="s">
        <v>108</v>
      </c>
      <c r="I23" s="6" t="s">
        <v>10</v>
      </c>
      <c r="J23" s="6" t="s">
        <v>11</v>
      </c>
      <c r="K23" s="6" t="s">
        <v>12</v>
      </c>
    </row>
    <row r="24" spans="1:11">
      <c r="A24" s="2"/>
      <c r="B24" s="2">
        <v>21</v>
      </c>
      <c r="C24" s="2">
        <v>7</v>
      </c>
      <c r="D24" s="2">
        <f>VLOOKUP($C24,DEFINES!$A$2:$C$10,2,)</f>
        <v>1</v>
      </c>
      <c r="E24" s="2">
        <f>VLOOKUP($C24,DEFINES!$A$2:$C$10,3,)</f>
        <v>1</v>
      </c>
      <c r="F24" s="3" t="s">
        <v>118</v>
      </c>
      <c r="G24" s="3" t="s">
        <v>109</v>
      </c>
      <c r="H24" s="3" t="s">
        <v>109</v>
      </c>
      <c r="I24" s="6" t="s">
        <v>10</v>
      </c>
      <c r="J24" s="6" t="s">
        <v>11</v>
      </c>
      <c r="K24" s="6" t="s">
        <v>12</v>
      </c>
    </row>
    <row r="25" spans="1:11">
      <c r="A25" s="2"/>
      <c r="B25" s="2">
        <v>22</v>
      </c>
      <c r="C25" s="2">
        <v>7</v>
      </c>
      <c r="D25" s="2">
        <f>VLOOKUP($C25,DEFINES!$A$2:$C$10,2,)</f>
        <v>1</v>
      </c>
      <c r="E25" s="2">
        <f>VLOOKUP($C25,DEFINES!$A$2:$C$10,3,)</f>
        <v>1</v>
      </c>
      <c r="F25" s="3" t="s">
        <v>117</v>
      </c>
      <c r="G25" s="3" t="s">
        <v>110</v>
      </c>
      <c r="H25" s="3" t="s">
        <v>110</v>
      </c>
      <c r="I25" s="6" t="s">
        <v>10</v>
      </c>
      <c r="J25" s="6" t="s">
        <v>11</v>
      </c>
      <c r="K25" s="6" t="s">
        <v>12</v>
      </c>
    </row>
    <row r="26" spans="1:11">
      <c r="A26" s="2"/>
      <c r="B26" s="2">
        <v>23</v>
      </c>
      <c r="C26" s="2">
        <v>7</v>
      </c>
      <c r="D26" s="2">
        <f>VLOOKUP($C26,DEFINES!$A$2:$C$10,2,)</f>
        <v>1</v>
      </c>
      <c r="E26" s="2">
        <f>VLOOKUP($C26,DEFINES!$A$2:$C$10,3,)</f>
        <v>1</v>
      </c>
      <c r="F26" s="3" t="s">
        <v>116</v>
      </c>
      <c r="G26" s="3" t="s">
        <v>111</v>
      </c>
      <c r="H26" s="3" t="s">
        <v>111</v>
      </c>
      <c r="I26" s="6" t="s">
        <v>10</v>
      </c>
      <c r="J26" s="6" t="s">
        <v>11</v>
      </c>
      <c r="K26" s="6" t="s">
        <v>12</v>
      </c>
    </row>
    <row r="27" spans="1:11">
      <c r="A27" s="2"/>
      <c r="B27" s="2">
        <v>31</v>
      </c>
      <c r="C27" s="2">
        <v>7</v>
      </c>
      <c r="D27" s="2">
        <f>VLOOKUP($C27,DEFINES!$A$2:$C$10,2,)</f>
        <v>1</v>
      </c>
      <c r="E27" s="2">
        <f>VLOOKUP($C27,DEFINES!$A$2:$C$10,3,)</f>
        <v>1</v>
      </c>
      <c r="F27" s="3" t="s">
        <v>115</v>
      </c>
      <c r="G27" s="3" t="s">
        <v>112</v>
      </c>
      <c r="H27" s="3" t="s">
        <v>112</v>
      </c>
      <c r="I27" s="6" t="s">
        <v>10</v>
      </c>
      <c r="J27" s="6" t="s">
        <v>11</v>
      </c>
      <c r="K27" s="6" t="s">
        <v>12</v>
      </c>
    </row>
    <row r="28" spans="1:11">
      <c r="A28" s="2"/>
      <c r="B28" s="2">
        <v>128</v>
      </c>
      <c r="C28" s="2">
        <v>7</v>
      </c>
      <c r="D28" s="2">
        <f>VLOOKUP($C28,DEFINES!$A$2:$C$10,2,)</f>
        <v>1</v>
      </c>
      <c r="E28" s="2">
        <f>VLOOKUP($C28,DEFINES!$A$2:$C$10,3,)</f>
        <v>1</v>
      </c>
      <c r="F28" s="3" t="s">
        <v>114</v>
      </c>
      <c r="G28" s="3" t="s">
        <v>108</v>
      </c>
      <c r="H28" s="3" t="s">
        <v>108</v>
      </c>
      <c r="I28" s="6" t="s">
        <v>10</v>
      </c>
      <c r="J28" s="6" t="s">
        <v>11</v>
      </c>
      <c r="K28" s="6" t="s">
        <v>12</v>
      </c>
    </row>
    <row r="29" spans="1:11">
      <c r="A29" s="2"/>
      <c r="B29" s="2">
        <v>129</v>
      </c>
      <c r="C29" s="2">
        <v>7</v>
      </c>
      <c r="D29" s="2">
        <f>VLOOKUP($C29,DEFINES!$A$2:$C$10,2,)</f>
        <v>1</v>
      </c>
      <c r="E29" s="2">
        <f>VLOOKUP($C29,DEFINES!$A$2:$C$10,3,)</f>
        <v>1</v>
      </c>
      <c r="F29" s="3" t="s">
        <v>113</v>
      </c>
      <c r="G29" s="3" t="s">
        <v>109</v>
      </c>
      <c r="H29" s="3" t="s">
        <v>109</v>
      </c>
      <c r="I29" s="6" t="s">
        <v>10</v>
      </c>
      <c r="J29" s="6" t="s">
        <v>11</v>
      </c>
      <c r="K29" s="6" t="s">
        <v>12</v>
      </c>
    </row>
    <row r="30" spans="1:11">
      <c r="A30" s="2"/>
      <c r="B30" s="2"/>
      <c r="C30" s="2"/>
      <c r="D30" s="2"/>
      <c r="E30" s="2"/>
      <c r="F30" s="3"/>
      <c r="G30" s="3"/>
      <c r="H30" s="3"/>
      <c r="I30" s="6"/>
      <c r="J30" s="6"/>
      <c r="K30" s="6"/>
    </row>
    <row r="31" spans="1:11">
      <c r="A31" s="2"/>
      <c r="B31" s="2"/>
      <c r="C31" s="2"/>
      <c r="D31" s="2"/>
      <c r="E31" s="2"/>
      <c r="F31" s="3"/>
      <c r="G31" s="3"/>
      <c r="H31" s="3"/>
      <c r="I31" s="6"/>
      <c r="J31" s="6"/>
      <c r="K31" s="6"/>
    </row>
    <row r="32" spans="1:11">
      <c r="A32" s="2"/>
      <c r="B32" s="2"/>
      <c r="C32" s="2"/>
      <c r="D32" s="2"/>
      <c r="E32" s="2"/>
      <c r="F32" s="3"/>
      <c r="G32" s="3"/>
      <c r="H32" s="3"/>
      <c r="I32" s="6"/>
      <c r="J32" s="6"/>
      <c r="K32" s="6"/>
    </row>
    <row r="33" spans="1:1">
      <c r="A33" s="2"/>
    </row>
  </sheetData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46">
    <tabColor theme="1"/>
  </sheetPr>
  <dimension ref="A1:L33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F52" sqref="F52"/>
    </sheetView>
  </sheetViews>
  <sheetFormatPr defaultColWidth="11.453125" defaultRowHeight="12.5" outlineLevelCol="1"/>
  <cols>
    <col min="3" max="5" width="11.453125" outlineLevel="1"/>
    <col min="6" max="11" width="60.7265625" customWidth="1"/>
  </cols>
  <sheetData>
    <row r="1" spans="1:12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  <c r="L1" s="14"/>
    </row>
    <row r="2" spans="1:12">
      <c r="A2" s="2">
        <v>103030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  <c r="L2" s="15"/>
    </row>
    <row r="3" spans="1:12">
      <c r="A3" s="2">
        <v>103031</v>
      </c>
      <c r="B3" s="2" t="s">
        <v>2</v>
      </c>
      <c r="C3" s="2" t="s">
        <v>2</v>
      </c>
      <c r="D3" s="2" t="s">
        <v>2</v>
      </c>
      <c r="E3" s="2" t="s">
        <v>2</v>
      </c>
      <c r="F3" s="6" t="s">
        <v>294</v>
      </c>
      <c r="G3" s="6" t="s">
        <v>295</v>
      </c>
      <c r="H3" s="6" t="s">
        <v>295</v>
      </c>
      <c r="I3" s="5" t="s">
        <v>26</v>
      </c>
      <c r="J3" s="5" t="s">
        <v>27</v>
      </c>
      <c r="K3" s="5" t="s">
        <v>28</v>
      </c>
    </row>
    <row r="4" spans="1:12">
      <c r="A4" s="2">
        <v>103032</v>
      </c>
      <c r="B4" s="2">
        <v>1</v>
      </c>
      <c r="C4" s="2">
        <v>7</v>
      </c>
      <c r="D4" s="2">
        <f>VLOOKUP($C4,DEFINES!$A$2:$C$10,2,)</f>
        <v>1</v>
      </c>
      <c r="E4" s="2">
        <f>VLOOKUP($C4,DEFINES!$A$2:$C$10,3,)</f>
        <v>1</v>
      </c>
      <c r="F4" s="6" t="s">
        <v>135</v>
      </c>
      <c r="G4" s="6" t="s">
        <v>86</v>
      </c>
      <c r="H4" s="6" t="s">
        <v>86</v>
      </c>
      <c r="I4" s="6" t="s">
        <v>10</v>
      </c>
      <c r="J4" s="6" t="s">
        <v>11</v>
      </c>
      <c r="K4" s="6" t="s">
        <v>12</v>
      </c>
    </row>
    <row r="5" spans="1:12">
      <c r="A5" s="2">
        <v>103033</v>
      </c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3" t="s">
        <v>134</v>
      </c>
      <c r="G5" s="3" t="s">
        <v>87</v>
      </c>
      <c r="H5" s="3" t="s">
        <v>87</v>
      </c>
      <c r="I5" s="6" t="s">
        <v>10</v>
      </c>
      <c r="J5" s="6" t="s">
        <v>11</v>
      </c>
      <c r="K5" s="6" t="s">
        <v>12</v>
      </c>
    </row>
    <row r="6" spans="1:12">
      <c r="A6" s="2">
        <v>103034</v>
      </c>
      <c r="B6" s="2">
        <v>3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3" t="s">
        <v>88</v>
      </c>
      <c r="G6" s="3" t="s">
        <v>89</v>
      </c>
      <c r="H6" s="3" t="s">
        <v>89</v>
      </c>
      <c r="I6" s="6" t="s">
        <v>10</v>
      </c>
      <c r="J6" s="6" t="s">
        <v>11</v>
      </c>
      <c r="K6" s="6" t="s">
        <v>12</v>
      </c>
    </row>
    <row r="7" spans="1:12">
      <c r="A7" s="2">
        <v>103035</v>
      </c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3" t="s">
        <v>133</v>
      </c>
      <c r="G7" s="3" t="s">
        <v>90</v>
      </c>
      <c r="H7" s="3" t="s">
        <v>90</v>
      </c>
      <c r="I7" s="6" t="s">
        <v>10</v>
      </c>
      <c r="J7" s="6" t="s">
        <v>11</v>
      </c>
      <c r="K7" s="6" t="s">
        <v>12</v>
      </c>
    </row>
    <row r="8" spans="1:12">
      <c r="A8" s="2">
        <v>103036</v>
      </c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3" t="s">
        <v>132</v>
      </c>
      <c r="G8" s="3" t="s">
        <v>91</v>
      </c>
      <c r="H8" s="3" t="s">
        <v>91</v>
      </c>
      <c r="I8" s="6" t="s">
        <v>10</v>
      </c>
      <c r="J8" s="6" t="s">
        <v>11</v>
      </c>
      <c r="K8" s="6" t="s">
        <v>12</v>
      </c>
    </row>
    <row r="9" spans="1:12">
      <c r="A9" s="2">
        <v>103037</v>
      </c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3" t="s">
        <v>131</v>
      </c>
      <c r="G9" s="3" t="s">
        <v>92</v>
      </c>
      <c r="H9" s="3" t="s">
        <v>92</v>
      </c>
      <c r="I9" s="6" t="s">
        <v>10</v>
      </c>
      <c r="J9" s="6" t="s">
        <v>11</v>
      </c>
      <c r="K9" s="6" t="s">
        <v>12</v>
      </c>
    </row>
    <row r="10" spans="1:12">
      <c r="A10" s="2">
        <v>103038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130</v>
      </c>
      <c r="G10" s="3" t="s">
        <v>93</v>
      </c>
      <c r="H10" s="3" t="s">
        <v>93</v>
      </c>
      <c r="I10" s="6" t="s">
        <v>10</v>
      </c>
      <c r="J10" s="6" t="s">
        <v>11</v>
      </c>
      <c r="K10" s="6" t="s">
        <v>12</v>
      </c>
    </row>
    <row r="11" spans="1:12">
      <c r="A11" s="2">
        <v>103039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3" t="s">
        <v>129</v>
      </c>
      <c r="G11" s="3" t="s">
        <v>94</v>
      </c>
      <c r="H11" s="3" t="s">
        <v>94</v>
      </c>
      <c r="I11" s="6" t="s">
        <v>10</v>
      </c>
      <c r="J11" s="6" t="s">
        <v>11</v>
      </c>
      <c r="K11" s="6" t="s">
        <v>12</v>
      </c>
    </row>
    <row r="12" spans="1:12">
      <c r="A12" s="2"/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128</v>
      </c>
      <c r="G12" s="3" t="s">
        <v>95</v>
      </c>
      <c r="H12" s="3" t="s">
        <v>95</v>
      </c>
      <c r="I12" s="6" t="s">
        <v>10</v>
      </c>
      <c r="J12" s="6" t="s">
        <v>11</v>
      </c>
      <c r="K12" s="6" t="s">
        <v>12</v>
      </c>
    </row>
    <row r="13" spans="1:12">
      <c r="A13" s="2"/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127</v>
      </c>
      <c r="G13" s="3" t="s">
        <v>96</v>
      </c>
      <c r="H13" s="3" t="s">
        <v>96</v>
      </c>
      <c r="I13" s="6" t="s">
        <v>10</v>
      </c>
      <c r="J13" s="6" t="s">
        <v>11</v>
      </c>
      <c r="K13" s="6" t="s">
        <v>12</v>
      </c>
    </row>
    <row r="14" spans="1:12">
      <c r="A14" s="2"/>
      <c r="B14" s="10">
        <v>11</v>
      </c>
      <c r="C14" s="10">
        <v>7</v>
      </c>
      <c r="D14" s="2">
        <f>VLOOKUP($C14,DEFINES!$A$2:$C$10,2,)</f>
        <v>1</v>
      </c>
      <c r="E14" s="2">
        <f>VLOOKUP($C14,DEFINES!$A$2:$C$10,3,)</f>
        <v>1</v>
      </c>
      <c r="F14" s="12" t="s">
        <v>126</v>
      </c>
      <c r="G14" s="12" t="s">
        <v>97</v>
      </c>
      <c r="H14" s="12" t="s">
        <v>97</v>
      </c>
      <c r="I14" s="11" t="s">
        <v>10</v>
      </c>
      <c r="J14" s="11" t="s">
        <v>11</v>
      </c>
      <c r="K14" s="11" t="s">
        <v>12</v>
      </c>
    </row>
    <row r="15" spans="1:12">
      <c r="A15" s="10"/>
      <c r="B15" s="2">
        <v>12</v>
      </c>
      <c r="C15" s="2">
        <v>7</v>
      </c>
      <c r="D15" s="2">
        <f>VLOOKUP($C15,DEFINES!$A$2:$C$10,2,)</f>
        <v>1</v>
      </c>
      <c r="E15" s="2">
        <f>VLOOKUP($C15,DEFINES!$A$2:$C$10,3,)</f>
        <v>1</v>
      </c>
      <c r="F15" s="3" t="s">
        <v>98</v>
      </c>
      <c r="G15" s="3" t="s">
        <v>99</v>
      </c>
      <c r="H15" s="3" t="s">
        <v>99</v>
      </c>
      <c r="I15" s="6" t="s">
        <v>10</v>
      </c>
      <c r="J15" s="6" t="s">
        <v>11</v>
      </c>
      <c r="K15" s="6" t="s">
        <v>12</v>
      </c>
    </row>
    <row r="16" spans="1:12">
      <c r="A16" s="2"/>
      <c r="B16" s="2">
        <v>13</v>
      </c>
      <c r="C16" s="2">
        <v>7</v>
      </c>
      <c r="D16" s="2">
        <f>VLOOKUP($C16,DEFINES!$A$2:$C$10,2,)</f>
        <v>1</v>
      </c>
      <c r="E16" s="2">
        <f>VLOOKUP($C16,DEFINES!$A$2:$C$10,3,)</f>
        <v>1</v>
      </c>
      <c r="F16" s="3" t="s">
        <v>125</v>
      </c>
      <c r="G16" s="3" t="s">
        <v>100</v>
      </c>
      <c r="H16" s="3" t="s">
        <v>100</v>
      </c>
      <c r="I16" s="6" t="s">
        <v>10</v>
      </c>
      <c r="J16" s="6" t="s">
        <v>11</v>
      </c>
      <c r="K16" s="6" t="s">
        <v>12</v>
      </c>
    </row>
    <row r="17" spans="1:11">
      <c r="A17" s="2"/>
      <c r="B17" s="2">
        <v>14</v>
      </c>
      <c r="C17" s="2">
        <v>7</v>
      </c>
      <c r="D17" s="2">
        <f>VLOOKUP($C17,DEFINES!$A$2:$C$10,2,)</f>
        <v>1</v>
      </c>
      <c r="E17" s="2">
        <f>VLOOKUP($C17,DEFINES!$A$2:$C$10,3,)</f>
        <v>1</v>
      </c>
      <c r="F17" s="3" t="s">
        <v>124</v>
      </c>
      <c r="G17" s="3" t="s">
        <v>101</v>
      </c>
      <c r="H17" s="3" t="s">
        <v>101</v>
      </c>
      <c r="I17" s="6" t="s">
        <v>10</v>
      </c>
      <c r="J17" s="6" t="s">
        <v>11</v>
      </c>
      <c r="K17" s="6" t="s">
        <v>12</v>
      </c>
    </row>
    <row r="18" spans="1:11">
      <c r="A18" s="2"/>
      <c r="B18" s="2">
        <v>15</v>
      </c>
      <c r="C18" s="2">
        <v>7</v>
      </c>
      <c r="D18" s="2">
        <f>VLOOKUP($C18,DEFINES!$A$2:$C$10,2,)</f>
        <v>1</v>
      </c>
      <c r="E18" s="2">
        <f>VLOOKUP($C18,DEFINES!$A$2:$C$10,3,)</f>
        <v>1</v>
      </c>
      <c r="F18" s="3" t="s">
        <v>123</v>
      </c>
      <c r="G18" s="3" t="s">
        <v>102</v>
      </c>
      <c r="H18" s="3" t="s">
        <v>102</v>
      </c>
      <c r="I18" s="6" t="s">
        <v>10</v>
      </c>
      <c r="J18" s="6" t="s">
        <v>11</v>
      </c>
      <c r="K18" s="6" t="s">
        <v>12</v>
      </c>
    </row>
    <row r="19" spans="1:11">
      <c r="A19" s="2"/>
      <c r="B19" s="2">
        <v>16</v>
      </c>
      <c r="C19" s="2">
        <v>7</v>
      </c>
      <c r="D19" s="2">
        <f>VLOOKUP($C19,DEFINES!$A$2:$C$10,2,)</f>
        <v>1</v>
      </c>
      <c r="E19" s="2">
        <f>VLOOKUP($C19,DEFINES!$A$2:$C$10,3,)</f>
        <v>1</v>
      </c>
      <c r="F19" s="3" t="s">
        <v>122</v>
      </c>
      <c r="G19" s="3" t="s">
        <v>103</v>
      </c>
      <c r="H19" s="3" t="s">
        <v>103</v>
      </c>
      <c r="I19" s="6" t="s">
        <v>10</v>
      </c>
      <c r="J19" s="6" t="s">
        <v>11</v>
      </c>
      <c r="K19" s="6" t="s">
        <v>12</v>
      </c>
    </row>
    <row r="20" spans="1:11">
      <c r="A20" s="2"/>
      <c r="B20" s="2">
        <v>17</v>
      </c>
      <c r="C20" s="2">
        <v>7</v>
      </c>
      <c r="D20" s="2">
        <f>VLOOKUP($C20,DEFINES!$A$2:$C$10,2,)</f>
        <v>1</v>
      </c>
      <c r="E20" s="2">
        <f>VLOOKUP($C20,DEFINES!$A$2:$C$10,3,)</f>
        <v>1</v>
      </c>
      <c r="F20" s="3" t="s">
        <v>121</v>
      </c>
      <c r="G20" s="3" t="s">
        <v>104</v>
      </c>
      <c r="H20" s="3" t="s">
        <v>104</v>
      </c>
      <c r="I20" s="6" t="s">
        <v>10</v>
      </c>
      <c r="J20" s="6" t="s">
        <v>11</v>
      </c>
      <c r="K20" s="6" t="s">
        <v>12</v>
      </c>
    </row>
    <row r="21" spans="1:11">
      <c r="A21" s="2"/>
      <c r="B21" s="2">
        <v>18</v>
      </c>
      <c r="C21" s="2">
        <v>7</v>
      </c>
      <c r="D21" s="2">
        <f>VLOOKUP($C21,DEFINES!$A$2:$C$10,2,)</f>
        <v>1</v>
      </c>
      <c r="E21" s="2">
        <f>VLOOKUP($C21,DEFINES!$A$2:$C$10,3,)</f>
        <v>1</v>
      </c>
      <c r="F21" s="3" t="s">
        <v>120</v>
      </c>
      <c r="G21" s="3" t="s">
        <v>105</v>
      </c>
      <c r="H21" s="3" t="s">
        <v>105</v>
      </c>
      <c r="I21" s="6" t="s">
        <v>10</v>
      </c>
      <c r="J21" s="6" t="s">
        <v>11</v>
      </c>
      <c r="K21" s="6" t="s">
        <v>12</v>
      </c>
    </row>
    <row r="22" spans="1:11">
      <c r="A22" s="2"/>
      <c r="B22" s="2">
        <v>19</v>
      </c>
      <c r="C22" s="2">
        <v>7</v>
      </c>
      <c r="D22" s="2">
        <f>VLOOKUP($C22,DEFINES!$A$2:$C$10,2,)</f>
        <v>1</v>
      </c>
      <c r="E22" s="2">
        <f>VLOOKUP($C22,DEFINES!$A$2:$C$10,3,)</f>
        <v>1</v>
      </c>
      <c r="F22" s="3" t="s">
        <v>106</v>
      </c>
      <c r="G22" s="3" t="s">
        <v>107</v>
      </c>
      <c r="H22" s="3" t="s">
        <v>107</v>
      </c>
      <c r="I22" s="6" t="s">
        <v>10</v>
      </c>
      <c r="J22" s="6" t="s">
        <v>11</v>
      </c>
      <c r="K22" s="6" t="s">
        <v>12</v>
      </c>
    </row>
    <row r="23" spans="1:11">
      <c r="A23" s="2"/>
      <c r="B23" s="2">
        <v>20</v>
      </c>
      <c r="C23" s="2">
        <v>7</v>
      </c>
      <c r="D23" s="2">
        <f>VLOOKUP($C23,DEFINES!$A$2:$C$10,2,)</f>
        <v>1</v>
      </c>
      <c r="E23" s="2">
        <f>VLOOKUP($C23,DEFINES!$A$2:$C$10,3,)</f>
        <v>1</v>
      </c>
      <c r="F23" s="3" t="s">
        <v>119</v>
      </c>
      <c r="G23" s="3" t="s">
        <v>108</v>
      </c>
      <c r="H23" s="3" t="s">
        <v>108</v>
      </c>
      <c r="I23" s="6" t="s">
        <v>10</v>
      </c>
      <c r="J23" s="6" t="s">
        <v>11</v>
      </c>
      <c r="K23" s="6" t="s">
        <v>12</v>
      </c>
    </row>
    <row r="24" spans="1:11">
      <c r="A24" s="2"/>
      <c r="B24" s="2">
        <v>21</v>
      </c>
      <c r="C24" s="2">
        <v>7</v>
      </c>
      <c r="D24" s="2">
        <f>VLOOKUP($C24,DEFINES!$A$2:$C$10,2,)</f>
        <v>1</v>
      </c>
      <c r="E24" s="2">
        <f>VLOOKUP($C24,DEFINES!$A$2:$C$10,3,)</f>
        <v>1</v>
      </c>
      <c r="F24" s="3" t="s">
        <v>118</v>
      </c>
      <c r="G24" s="3" t="s">
        <v>109</v>
      </c>
      <c r="H24" s="3" t="s">
        <v>109</v>
      </c>
      <c r="I24" s="6" t="s">
        <v>10</v>
      </c>
      <c r="J24" s="6" t="s">
        <v>11</v>
      </c>
      <c r="K24" s="6" t="s">
        <v>12</v>
      </c>
    </row>
    <row r="25" spans="1:11">
      <c r="A25" s="2"/>
      <c r="B25" s="2">
        <v>22</v>
      </c>
      <c r="C25" s="2">
        <v>7</v>
      </c>
      <c r="D25" s="2">
        <f>VLOOKUP($C25,DEFINES!$A$2:$C$10,2,)</f>
        <v>1</v>
      </c>
      <c r="E25" s="2">
        <f>VLOOKUP($C25,DEFINES!$A$2:$C$10,3,)</f>
        <v>1</v>
      </c>
      <c r="F25" s="3" t="s">
        <v>117</v>
      </c>
      <c r="G25" s="3" t="s">
        <v>110</v>
      </c>
      <c r="H25" s="3" t="s">
        <v>110</v>
      </c>
      <c r="I25" s="6" t="s">
        <v>10</v>
      </c>
      <c r="J25" s="6" t="s">
        <v>11</v>
      </c>
      <c r="K25" s="6" t="s">
        <v>12</v>
      </c>
    </row>
    <row r="26" spans="1:11">
      <c r="A26" s="2"/>
      <c r="B26" s="2">
        <v>23</v>
      </c>
      <c r="C26" s="2">
        <v>7</v>
      </c>
      <c r="D26" s="2">
        <f>VLOOKUP($C26,DEFINES!$A$2:$C$10,2,)</f>
        <v>1</v>
      </c>
      <c r="E26" s="2">
        <f>VLOOKUP($C26,DEFINES!$A$2:$C$10,3,)</f>
        <v>1</v>
      </c>
      <c r="F26" s="3" t="s">
        <v>116</v>
      </c>
      <c r="G26" s="3" t="s">
        <v>111</v>
      </c>
      <c r="H26" s="3" t="s">
        <v>111</v>
      </c>
      <c r="I26" s="6" t="s">
        <v>10</v>
      </c>
      <c r="J26" s="6" t="s">
        <v>11</v>
      </c>
      <c r="K26" s="6" t="s">
        <v>12</v>
      </c>
    </row>
    <row r="27" spans="1:11">
      <c r="A27" s="2"/>
      <c r="B27" s="2">
        <v>31</v>
      </c>
      <c r="C27" s="2">
        <v>7</v>
      </c>
      <c r="D27" s="2">
        <f>VLOOKUP($C27,DEFINES!$A$2:$C$10,2,)</f>
        <v>1</v>
      </c>
      <c r="E27" s="2">
        <f>VLOOKUP($C27,DEFINES!$A$2:$C$10,3,)</f>
        <v>1</v>
      </c>
      <c r="F27" s="3" t="s">
        <v>115</v>
      </c>
      <c r="G27" s="3" t="s">
        <v>112</v>
      </c>
      <c r="H27" s="3" t="s">
        <v>112</v>
      </c>
      <c r="I27" s="6" t="s">
        <v>10</v>
      </c>
      <c r="J27" s="6" t="s">
        <v>11</v>
      </c>
      <c r="K27" s="6" t="s">
        <v>12</v>
      </c>
    </row>
    <row r="28" spans="1:11">
      <c r="A28" s="2"/>
      <c r="B28" s="2">
        <v>128</v>
      </c>
      <c r="C28" s="2">
        <v>7</v>
      </c>
      <c r="D28" s="2">
        <f>VLOOKUP($C28,DEFINES!$A$2:$C$10,2,)</f>
        <v>1</v>
      </c>
      <c r="E28" s="2">
        <f>VLOOKUP($C28,DEFINES!$A$2:$C$10,3,)</f>
        <v>1</v>
      </c>
      <c r="F28" s="3" t="s">
        <v>114</v>
      </c>
      <c r="G28" s="3" t="s">
        <v>108</v>
      </c>
      <c r="H28" s="3" t="s">
        <v>108</v>
      </c>
      <c r="I28" s="6" t="s">
        <v>10</v>
      </c>
      <c r="J28" s="6" t="s">
        <v>11</v>
      </c>
      <c r="K28" s="6" t="s">
        <v>12</v>
      </c>
    </row>
    <row r="29" spans="1:11">
      <c r="A29" s="2"/>
      <c r="B29" s="2">
        <v>129</v>
      </c>
      <c r="C29" s="2">
        <v>7</v>
      </c>
      <c r="D29" s="2">
        <f>VLOOKUP($C29,DEFINES!$A$2:$C$10,2,)</f>
        <v>1</v>
      </c>
      <c r="E29" s="2">
        <f>VLOOKUP($C29,DEFINES!$A$2:$C$10,3,)</f>
        <v>1</v>
      </c>
      <c r="F29" s="3" t="s">
        <v>113</v>
      </c>
      <c r="G29" s="3" t="s">
        <v>109</v>
      </c>
      <c r="H29" s="3" t="s">
        <v>109</v>
      </c>
      <c r="I29" s="6" t="s">
        <v>10</v>
      </c>
      <c r="J29" s="6" t="s">
        <v>11</v>
      </c>
      <c r="K29" s="6" t="s">
        <v>12</v>
      </c>
    </row>
    <row r="30" spans="1:11">
      <c r="A30" s="2"/>
      <c r="B30" s="2"/>
      <c r="C30" s="2"/>
      <c r="D30" s="2"/>
      <c r="E30" s="2"/>
      <c r="F30" s="3"/>
      <c r="G30" s="3"/>
      <c r="H30" s="3"/>
      <c r="I30" s="6"/>
      <c r="J30" s="6"/>
      <c r="K30" s="6"/>
    </row>
    <row r="31" spans="1:11">
      <c r="A31" s="2"/>
      <c r="B31" s="2"/>
      <c r="C31" s="2"/>
      <c r="D31" s="2"/>
      <c r="E31" s="2"/>
      <c r="F31" s="3"/>
      <c r="G31" s="3"/>
      <c r="H31" s="3"/>
      <c r="I31" s="6"/>
      <c r="J31" s="6"/>
      <c r="K31" s="6"/>
    </row>
    <row r="32" spans="1:11">
      <c r="A32" s="2"/>
      <c r="B32" s="2"/>
      <c r="C32" s="2"/>
      <c r="D32" s="2"/>
      <c r="E32" s="2"/>
      <c r="F32" s="3"/>
      <c r="G32" s="3"/>
      <c r="H32" s="3"/>
      <c r="I32" s="6"/>
      <c r="J32" s="6"/>
      <c r="K32" s="6"/>
    </row>
    <row r="33" spans="1:1">
      <c r="A33" s="2"/>
    </row>
  </sheetData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44">
    <tabColor theme="1"/>
  </sheetPr>
  <dimension ref="A1:K55"/>
  <sheetViews>
    <sheetView workbookViewId="0">
      <pane xSplit="5" ySplit="3" topLeftCell="H4" activePane="bottomRight" state="frozen"/>
      <selection pane="topRight" activeCell="F1" sqref="F1"/>
      <selection pane="bottomLeft" activeCell="A4" sqref="A4"/>
      <selection pane="bottomRight" activeCell="H30" sqref="H30"/>
    </sheetView>
  </sheetViews>
  <sheetFormatPr defaultColWidth="11.453125" defaultRowHeight="12.5" outlineLevelCol="1"/>
  <cols>
    <col min="3" max="5" width="11.453125" outlineLevel="1"/>
    <col min="6" max="11" width="60.7265625" customWidth="1"/>
  </cols>
  <sheetData>
    <row r="1" spans="1:11">
      <c r="A1" s="16" t="s">
        <v>1</v>
      </c>
      <c r="B1" s="16" t="s">
        <v>0</v>
      </c>
      <c r="C1" s="16" t="s">
        <v>3</v>
      </c>
      <c r="D1" s="16" t="s">
        <v>4</v>
      </c>
      <c r="E1" s="16" t="s">
        <v>5</v>
      </c>
      <c r="F1" s="17" t="s">
        <v>212</v>
      </c>
      <c r="G1" s="17" t="s">
        <v>213</v>
      </c>
      <c r="H1" s="17" t="s">
        <v>214</v>
      </c>
      <c r="I1" s="17" t="s">
        <v>217</v>
      </c>
      <c r="J1" s="17" t="s">
        <v>218</v>
      </c>
      <c r="K1" s="17" t="s">
        <v>219</v>
      </c>
    </row>
    <row r="2" spans="1:11">
      <c r="A2" s="2">
        <v>103050</v>
      </c>
      <c r="B2" s="2" t="s">
        <v>2</v>
      </c>
      <c r="C2" s="5"/>
      <c r="D2" s="5"/>
      <c r="E2" s="5"/>
      <c r="F2" s="13">
        <v>1031</v>
      </c>
      <c r="G2" s="13">
        <v>1033</v>
      </c>
      <c r="H2" s="13">
        <v>2052</v>
      </c>
      <c r="I2" s="13">
        <v>1036</v>
      </c>
      <c r="J2" s="13">
        <v>1034</v>
      </c>
      <c r="K2" s="13">
        <v>1043</v>
      </c>
    </row>
    <row r="3" spans="1:11">
      <c r="A3" s="2">
        <v>103051</v>
      </c>
      <c r="B3" s="5"/>
      <c r="C3" s="2" t="s">
        <v>2</v>
      </c>
      <c r="D3" s="2" t="s">
        <v>2</v>
      </c>
      <c r="E3" s="2" t="s">
        <v>2</v>
      </c>
      <c r="F3" s="6" t="s">
        <v>201</v>
      </c>
      <c r="G3" s="6" t="s">
        <v>201</v>
      </c>
      <c r="H3" s="6" t="s">
        <v>201</v>
      </c>
      <c r="I3" s="6" t="s">
        <v>201</v>
      </c>
      <c r="J3" s="6" t="s">
        <v>201</v>
      </c>
      <c r="K3" s="6" t="s">
        <v>201</v>
      </c>
    </row>
    <row r="4" spans="1:11">
      <c r="A4" s="2">
        <v>103052</v>
      </c>
      <c r="B4" s="2">
        <v>1</v>
      </c>
      <c r="C4" s="2">
        <v>7</v>
      </c>
      <c r="D4" s="2">
        <f>VLOOKUP($C4,DEFINES!$A$2:$C$10,2,)</f>
        <v>1</v>
      </c>
      <c r="E4" s="2">
        <f>VLOOKUP($C4,DEFINES!$A$2:$C$10,3,)</f>
        <v>1</v>
      </c>
      <c r="F4" s="3" t="s">
        <v>202</v>
      </c>
      <c r="G4" s="3" t="s">
        <v>210</v>
      </c>
      <c r="H4" s="3" t="s">
        <v>210</v>
      </c>
      <c r="I4" s="3" t="s">
        <v>204</v>
      </c>
      <c r="J4" s="3" t="s">
        <v>205</v>
      </c>
      <c r="K4" s="3" t="s">
        <v>206</v>
      </c>
    </row>
    <row r="5" spans="1:11">
      <c r="A5" s="2">
        <v>103053</v>
      </c>
      <c r="B5" s="2">
        <v>2</v>
      </c>
      <c r="C5" s="2">
        <v>7</v>
      </c>
      <c r="D5" s="2">
        <f>VLOOKUP($C5,DEFINES!$A$2:$C$10,2,)</f>
        <v>1</v>
      </c>
      <c r="E5" s="2">
        <f>VLOOKUP($C5,DEFINES!$A$2:$C$10,3,)</f>
        <v>1</v>
      </c>
      <c r="F5" s="3" t="s">
        <v>203</v>
      </c>
      <c r="G5" s="3" t="s">
        <v>211</v>
      </c>
      <c r="H5" s="3" t="s">
        <v>211</v>
      </c>
      <c r="I5" s="3" t="s">
        <v>207</v>
      </c>
      <c r="J5" s="3" t="s">
        <v>208</v>
      </c>
      <c r="K5" s="3" t="s">
        <v>209</v>
      </c>
    </row>
    <row r="6" spans="1:11">
      <c r="A6" s="2">
        <v>103054</v>
      </c>
      <c r="B6" s="2">
        <v>3</v>
      </c>
      <c r="C6" s="2">
        <v>7</v>
      </c>
      <c r="D6" s="2">
        <f>VLOOKUP($C6,DEFINES!$A$2:$C$10,2,)</f>
        <v>1</v>
      </c>
      <c r="E6" s="2">
        <f>VLOOKUP($C6,DEFINES!$A$2:$C$10,3,)</f>
        <v>1</v>
      </c>
      <c r="F6" s="3" t="s">
        <v>200</v>
      </c>
      <c r="G6" s="3" t="s">
        <v>200</v>
      </c>
      <c r="H6" s="3" t="s">
        <v>200</v>
      </c>
      <c r="I6" s="3" t="s">
        <v>200</v>
      </c>
      <c r="J6" s="3" t="s">
        <v>200</v>
      </c>
      <c r="K6" s="3" t="s">
        <v>200</v>
      </c>
    </row>
    <row r="7" spans="1:11">
      <c r="A7" s="2">
        <v>103055</v>
      </c>
      <c r="B7" s="2">
        <v>4</v>
      </c>
      <c r="C7" s="2">
        <v>7</v>
      </c>
      <c r="D7" s="2">
        <f>VLOOKUP($C7,DEFINES!$A$2:$C$10,2,)</f>
        <v>1</v>
      </c>
      <c r="E7" s="2">
        <f>VLOOKUP($C7,DEFINES!$A$2:$C$10,3,)</f>
        <v>1</v>
      </c>
      <c r="F7" s="3" t="s">
        <v>200</v>
      </c>
      <c r="G7" s="3" t="s">
        <v>200</v>
      </c>
      <c r="H7" s="3" t="s">
        <v>200</v>
      </c>
      <c r="I7" s="3" t="s">
        <v>200</v>
      </c>
      <c r="J7" s="3" t="s">
        <v>200</v>
      </c>
      <c r="K7" s="3" t="s">
        <v>200</v>
      </c>
    </row>
    <row r="8" spans="1:11">
      <c r="A8" s="2">
        <v>103056</v>
      </c>
      <c r="B8" s="2">
        <v>5</v>
      </c>
      <c r="C8" s="2">
        <v>7</v>
      </c>
      <c r="D8" s="2">
        <f>VLOOKUP($C8,DEFINES!$A$2:$C$10,2,)</f>
        <v>1</v>
      </c>
      <c r="E8" s="2">
        <f>VLOOKUP($C8,DEFINES!$A$2:$C$10,3,)</f>
        <v>1</v>
      </c>
      <c r="F8" s="3" t="s">
        <v>200</v>
      </c>
      <c r="G8" s="3" t="s">
        <v>200</v>
      </c>
      <c r="H8" s="3" t="s">
        <v>200</v>
      </c>
      <c r="I8" s="3" t="s">
        <v>200</v>
      </c>
      <c r="J8" s="3" t="s">
        <v>200</v>
      </c>
      <c r="K8" s="3" t="s">
        <v>200</v>
      </c>
    </row>
    <row r="9" spans="1:11">
      <c r="A9" s="2">
        <v>103057</v>
      </c>
      <c r="B9" s="2">
        <v>6</v>
      </c>
      <c r="C9" s="2">
        <v>7</v>
      </c>
      <c r="D9" s="2">
        <f>VLOOKUP($C9,DEFINES!$A$2:$C$10,2,)</f>
        <v>1</v>
      </c>
      <c r="E9" s="2">
        <f>VLOOKUP($C9,DEFINES!$A$2:$C$10,3,)</f>
        <v>1</v>
      </c>
      <c r="F9" s="3" t="s">
        <v>200</v>
      </c>
      <c r="G9" s="3" t="s">
        <v>200</v>
      </c>
      <c r="H9" s="3" t="s">
        <v>200</v>
      </c>
      <c r="I9" s="3" t="s">
        <v>200</v>
      </c>
      <c r="J9" s="3" t="s">
        <v>200</v>
      </c>
      <c r="K9" s="3" t="s">
        <v>200</v>
      </c>
    </row>
    <row r="10" spans="1:11">
      <c r="A10" s="2">
        <v>103058</v>
      </c>
      <c r="B10" s="2">
        <v>7</v>
      </c>
      <c r="C10" s="2">
        <v>7</v>
      </c>
      <c r="D10" s="2">
        <f>VLOOKUP($C10,DEFINES!$A$2:$C$10,2,)</f>
        <v>1</v>
      </c>
      <c r="E10" s="2">
        <f>VLOOKUP($C10,DEFINES!$A$2:$C$10,3,)</f>
        <v>1</v>
      </c>
      <c r="F10" s="3" t="s">
        <v>200</v>
      </c>
      <c r="G10" s="3" t="s">
        <v>200</v>
      </c>
      <c r="H10" s="3" t="s">
        <v>200</v>
      </c>
      <c r="I10" s="3" t="s">
        <v>200</v>
      </c>
      <c r="J10" s="3" t="s">
        <v>200</v>
      </c>
      <c r="K10" s="3" t="s">
        <v>200</v>
      </c>
    </row>
    <row r="11" spans="1:11">
      <c r="A11" s="2">
        <v>103059</v>
      </c>
      <c r="B11" s="2">
        <v>8</v>
      </c>
      <c r="C11" s="2">
        <v>7</v>
      </c>
      <c r="D11" s="2">
        <f>VLOOKUP($C11,DEFINES!$A$2:$C$10,2,)</f>
        <v>1</v>
      </c>
      <c r="E11" s="2">
        <f>VLOOKUP($C11,DEFINES!$A$2:$C$10,3,)</f>
        <v>1</v>
      </c>
      <c r="F11" s="3" t="s">
        <v>200</v>
      </c>
      <c r="G11" s="3" t="s">
        <v>200</v>
      </c>
      <c r="H11" s="3" t="s">
        <v>200</v>
      </c>
      <c r="I11" s="3" t="s">
        <v>200</v>
      </c>
      <c r="J11" s="3" t="s">
        <v>200</v>
      </c>
      <c r="K11" s="3" t="s">
        <v>200</v>
      </c>
    </row>
    <row r="12" spans="1:11">
      <c r="A12" s="2"/>
      <c r="B12" s="2">
        <v>9</v>
      </c>
      <c r="C12" s="2">
        <v>7</v>
      </c>
      <c r="D12" s="2">
        <f>VLOOKUP($C12,DEFINES!$A$2:$C$10,2,)</f>
        <v>1</v>
      </c>
      <c r="E12" s="2">
        <f>VLOOKUP($C12,DEFINES!$A$2:$C$10,3,)</f>
        <v>1</v>
      </c>
      <c r="F12" s="3" t="s">
        <v>200</v>
      </c>
      <c r="G12" s="3" t="s">
        <v>200</v>
      </c>
      <c r="H12" s="3" t="s">
        <v>200</v>
      </c>
      <c r="I12" s="3" t="s">
        <v>200</v>
      </c>
      <c r="J12" s="3" t="s">
        <v>200</v>
      </c>
      <c r="K12" s="3" t="s">
        <v>200</v>
      </c>
    </row>
    <row r="13" spans="1:11">
      <c r="A13" s="2"/>
      <c r="B13" s="2">
        <v>10</v>
      </c>
      <c r="C13" s="2">
        <v>7</v>
      </c>
      <c r="D13" s="2">
        <f>VLOOKUP($C13,DEFINES!$A$2:$C$10,2,)</f>
        <v>1</v>
      </c>
      <c r="E13" s="2">
        <f>VLOOKUP($C13,DEFINES!$A$2:$C$10,3,)</f>
        <v>1</v>
      </c>
      <c r="F13" s="3" t="s">
        <v>200</v>
      </c>
      <c r="G13" s="3" t="s">
        <v>200</v>
      </c>
      <c r="H13" s="3" t="s">
        <v>200</v>
      </c>
      <c r="I13" s="3" t="s">
        <v>200</v>
      </c>
      <c r="J13" s="3" t="s">
        <v>200</v>
      </c>
      <c r="K13" s="3" t="s">
        <v>200</v>
      </c>
    </row>
    <row r="14" spans="1:11">
      <c r="A14" s="2"/>
      <c r="B14" s="10"/>
      <c r="C14" s="10"/>
      <c r="D14" s="10"/>
      <c r="E14" s="10"/>
      <c r="F14" s="11"/>
      <c r="G14" s="12"/>
      <c r="H14" s="12"/>
      <c r="I14" s="11"/>
      <c r="J14" s="11"/>
      <c r="K14" s="11"/>
    </row>
    <row r="15" spans="1:11">
      <c r="A15" s="10"/>
      <c r="B15" s="2"/>
      <c r="C15" s="2"/>
      <c r="D15" s="2"/>
      <c r="E15" s="2"/>
      <c r="F15" s="6"/>
      <c r="G15" s="3"/>
      <c r="H15" s="3"/>
      <c r="I15" s="6"/>
      <c r="J15" s="6"/>
      <c r="K15" s="6"/>
    </row>
    <row r="16" spans="1:11">
      <c r="A16" s="2"/>
      <c r="B16" s="2"/>
      <c r="C16" s="2"/>
      <c r="D16" s="2"/>
      <c r="E16" s="2"/>
      <c r="F16" s="6"/>
      <c r="G16" s="6"/>
      <c r="H16" s="3"/>
      <c r="I16" s="6"/>
      <c r="J16" s="6"/>
      <c r="K16" s="6"/>
    </row>
    <row r="17" spans="1:11">
      <c r="A17" s="2"/>
      <c r="B17" s="2"/>
      <c r="C17" s="2"/>
      <c r="D17" s="2"/>
      <c r="E17" s="2"/>
      <c r="F17" s="6"/>
      <c r="G17" s="3"/>
      <c r="H17" s="3"/>
      <c r="I17" s="6"/>
      <c r="J17" s="6"/>
      <c r="K17" s="6"/>
    </row>
    <row r="18" spans="1:11">
      <c r="A18" s="2"/>
      <c r="B18" s="2"/>
      <c r="C18" s="2"/>
      <c r="D18" s="2"/>
      <c r="E18" s="2"/>
      <c r="F18" s="6"/>
      <c r="G18" s="3"/>
      <c r="H18" s="3"/>
      <c r="I18" s="6"/>
      <c r="J18" s="6"/>
      <c r="K18" s="6"/>
    </row>
    <row r="19" spans="1:11">
      <c r="A19" s="2"/>
      <c r="B19" s="2"/>
      <c r="C19" s="2"/>
      <c r="D19" s="2"/>
      <c r="E19" s="2"/>
      <c r="F19" s="3"/>
      <c r="G19" s="3"/>
      <c r="H19" s="3"/>
      <c r="I19" s="6"/>
      <c r="J19" s="6"/>
      <c r="K19" s="6"/>
    </row>
    <row r="20" spans="1:11">
      <c r="A20" s="2"/>
      <c r="B20" s="2"/>
      <c r="C20" s="2"/>
      <c r="D20" s="2"/>
      <c r="E20" s="2"/>
      <c r="F20" s="3"/>
      <c r="G20" s="3"/>
      <c r="H20" s="3"/>
      <c r="I20" s="6"/>
      <c r="J20" s="6"/>
      <c r="K20" s="6"/>
    </row>
    <row r="21" spans="1:11">
      <c r="A21" s="2"/>
      <c r="B21" s="2"/>
      <c r="C21" s="2"/>
      <c r="D21" s="2"/>
      <c r="E21" s="2"/>
      <c r="F21" s="3"/>
      <c r="G21" s="3"/>
      <c r="H21" s="3"/>
      <c r="I21" s="6"/>
      <c r="J21" s="6"/>
      <c r="K21" s="6"/>
    </row>
    <row r="22" spans="1:11">
      <c r="A22" s="2"/>
      <c r="B22" s="2"/>
      <c r="C22" s="2"/>
      <c r="D22" s="2"/>
      <c r="E22" s="2"/>
      <c r="F22" s="3"/>
      <c r="G22" s="3"/>
      <c r="H22" s="3"/>
      <c r="I22" s="6"/>
      <c r="J22" s="6"/>
      <c r="K22" s="6"/>
    </row>
    <row r="23" spans="1:11">
      <c r="A23" s="2"/>
      <c r="B23" s="2"/>
      <c r="C23" s="2"/>
      <c r="D23" s="2"/>
      <c r="E23" s="2"/>
      <c r="F23" s="3"/>
      <c r="G23" s="3"/>
      <c r="H23" s="3"/>
      <c r="I23" s="6"/>
      <c r="J23" s="6"/>
      <c r="K23" s="6"/>
    </row>
    <row r="24" spans="1:11">
      <c r="A24" s="2"/>
      <c r="B24" s="2"/>
      <c r="C24" s="2"/>
      <c r="D24" s="2"/>
      <c r="E24" s="2"/>
      <c r="F24" s="3"/>
      <c r="G24" s="3"/>
      <c r="H24" s="3"/>
      <c r="I24" s="6"/>
      <c r="J24" s="6"/>
      <c r="K24" s="6"/>
    </row>
    <row r="25" spans="1:11">
      <c r="A25" s="2"/>
      <c r="B25" s="2"/>
      <c r="C25" s="2"/>
      <c r="D25" s="2"/>
      <c r="E25" s="2"/>
      <c r="F25" s="3"/>
      <c r="G25" s="3"/>
      <c r="H25" s="3"/>
      <c r="I25" s="6"/>
      <c r="J25" s="6"/>
      <c r="K25" s="6"/>
    </row>
    <row r="26" spans="1:11">
      <c r="A26" s="2"/>
      <c r="B26" s="2"/>
      <c r="C26" s="2"/>
      <c r="D26" s="2"/>
      <c r="E26" s="2"/>
      <c r="F26" s="3"/>
      <c r="G26" s="3"/>
      <c r="H26" s="3"/>
      <c r="I26" s="6"/>
      <c r="J26" s="6"/>
      <c r="K26" s="6"/>
    </row>
    <row r="27" spans="1:11">
      <c r="A27" s="2"/>
      <c r="B27" s="2"/>
      <c r="C27" s="2"/>
      <c r="D27" s="2"/>
      <c r="E27" s="2"/>
      <c r="F27" s="3"/>
      <c r="G27" s="3"/>
      <c r="H27" s="3"/>
      <c r="I27" s="6"/>
      <c r="J27" s="6"/>
      <c r="K27" s="6"/>
    </row>
    <row r="28" spans="1:11">
      <c r="A28" s="2"/>
      <c r="B28" s="2"/>
      <c r="C28" s="2"/>
      <c r="D28" s="2"/>
      <c r="E28" s="2"/>
      <c r="F28" s="3"/>
      <c r="G28" s="3"/>
      <c r="H28" s="3"/>
      <c r="I28" s="6"/>
      <c r="J28" s="6"/>
      <c r="K28" s="6"/>
    </row>
    <row r="29" spans="1:11">
      <c r="A29" s="2"/>
      <c r="B29" s="2"/>
      <c r="C29" s="2"/>
      <c r="D29" s="2"/>
      <c r="E29" s="2"/>
      <c r="F29" s="3"/>
      <c r="G29" s="3"/>
      <c r="H29" s="3"/>
      <c r="I29" s="6"/>
      <c r="J29" s="6"/>
      <c r="K29" s="6"/>
    </row>
    <row r="30" spans="1:11">
      <c r="A30" s="2"/>
      <c r="B30" s="2"/>
      <c r="C30" s="2"/>
      <c r="D30" s="2"/>
      <c r="E30" s="2"/>
      <c r="F30" s="3"/>
      <c r="G30" s="3"/>
      <c r="H30" s="3"/>
      <c r="I30" s="6"/>
      <c r="J30" s="6"/>
      <c r="K30" s="6"/>
    </row>
    <row r="31" spans="1:11">
      <c r="A31" s="2"/>
      <c r="B31" s="2"/>
      <c r="C31" s="2"/>
      <c r="D31" s="2"/>
      <c r="E31" s="2"/>
      <c r="F31" s="3"/>
      <c r="G31" s="3"/>
      <c r="H31" s="3"/>
      <c r="I31" s="6"/>
      <c r="J31" s="6"/>
      <c r="K31" s="6"/>
    </row>
    <row r="32" spans="1:11">
      <c r="A32" s="2"/>
      <c r="B32" s="2"/>
      <c r="C32" s="2"/>
      <c r="D32" s="2"/>
      <c r="E32" s="2"/>
      <c r="F32" s="3"/>
      <c r="G32" s="3"/>
      <c r="H32" s="3"/>
      <c r="I32" s="6"/>
      <c r="J32" s="6"/>
      <c r="K32" s="6"/>
    </row>
    <row r="33" spans="1:11">
      <c r="A33" s="2"/>
      <c r="B33" s="2"/>
      <c r="C33" s="2"/>
      <c r="D33" s="2"/>
      <c r="E33" s="2"/>
      <c r="F33" s="3"/>
      <c r="G33" s="3"/>
      <c r="H33" s="3"/>
      <c r="I33" s="6"/>
      <c r="J33" s="6"/>
      <c r="K33" s="6"/>
    </row>
    <row r="34" spans="1:11">
      <c r="A34" s="2"/>
      <c r="B34" s="2"/>
      <c r="C34" s="2"/>
      <c r="D34" s="2"/>
      <c r="E34" s="2"/>
      <c r="F34" s="3"/>
      <c r="G34" s="3"/>
      <c r="H34" s="3"/>
      <c r="I34" s="6"/>
      <c r="J34" s="6"/>
      <c r="K34" s="6"/>
    </row>
    <row r="35" spans="1:11">
      <c r="A35" s="2"/>
      <c r="B35" s="2"/>
      <c r="C35" s="2"/>
      <c r="D35" s="2"/>
      <c r="E35" s="2"/>
      <c r="F35" s="3"/>
      <c r="G35" s="3"/>
      <c r="H35" s="3"/>
      <c r="I35" s="6"/>
      <c r="J35" s="6"/>
      <c r="K35" s="6"/>
    </row>
    <row r="36" spans="1:11">
      <c r="A36" s="2"/>
      <c r="B36" s="2"/>
      <c r="C36" s="2"/>
      <c r="D36" s="2"/>
      <c r="E36" s="2"/>
      <c r="F36" s="3"/>
      <c r="G36" s="3"/>
      <c r="H36" s="3"/>
      <c r="I36" s="6"/>
      <c r="J36" s="6"/>
      <c r="K36" s="6"/>
    </row>
    <row r="37" spans="1:11">
      <c r="A37" s="2"/>
      <c r="B37" s="2"/>
      <c r="C37" s="2"/>
      <c r="D37" s="2"/>
      <c r="E37" s="2"/>
      <c r="F37" s="3"/>
      <c r="G37" s="3"/>
      <c r="H37" s="3"/>
      <c r="I37" s="6"/>
      <c r="J37" s="6"/>
      <c r="K37" s="6"/>
    </row>
    <row r="38" spans="1:11">
      <c r="A38" s="2"/>
      <c r="B38" s="2"/>
      <c r="C38" s="2"/>
      <c r="D38" s="2"/>
      <c r="E38" s="2"/>
      <c r="F38" s="3"/>
      <c r="G38" s="3"/>
      <c r="H38" s="3"/>
      <c r="I38" s="6"/>
      <c r="J38" s="6"/>
      <c r="K38" s="6"/>
    </row>
    <row r="39" spans="1:11">
      <c r="A39" s="2"/>
      <c r="B39" s="2"/>
      <c r="C39" s="2"/>
      <c r="D39" s="2"/>
      <c r="E39" s="2"/>
      <c r="F39" s="3"/>
      <c r="G39" s="3"/>
      <c r="H39" s="3"/>
      <c r="I39" s="6"/>
      <c r="J39" s="6"/>
      <c r="K39" s="6"/>
    </row>
    <row r="40" spans="1:11">
      <c r="A40" s="2"/>
      <c r="B40" s="2"/>
      <c r="C40" s="2"/>
      <c r="D40" s="2"/>
      <c r="E40" s="2"/>
      <c r="F40" s="3"/>
      <c r="G40" s="3"/>
      <c r="H40" s="3"/>
      <c r="I40" s="6"/>
      <c r="J40" s="6"/>
      <c r="K40" s="6"/>
    </row>
    <row r="41" spans="1:11">
      <c r="A41" s="2"/>
      <c r="B41" s="2"/>
      <c r="C41" s="2"/>
      <c r="D41" s="2"/>
      <c r="E41" s="2"/>
      <c r="F41" s="3"/>
      <c r="G41" s="3"/>
      <c r="H41" s="3"/>
      <c r="I41" s="6"/>
      <c r="J41" s="6"/>
      <c r="K41" s="6"/>
    </row>
    <row r="42" spans="1:11">
      <c r="A42" s="2"/>
      <c r="B42" s="2"/>
      <c r="C42" s="2"/>
      <c r="D42" s="2"/>
      <c r="E42" s="2"/>
      <c r="F42" s="3"/>
      <c r="G42" s="3"/>
      <c r="H42" s="3"/>
      <c r="I42" s="6"/>
      <c r="J42" s="6"/>
      <c r="K42" s="6"/>
    </row>
    <row r="43" spans="1:11">
      <c r="A43" s="2"/>
      <c r="B43" s="2"/>
      <c r="C43" s="2"/>
      <c r="D43" s="2"/>
      <c r="E43" s="2"/>
      <c r="F43" s="3"/>
      <c r="G43" s="3"/>
      <c r="H43" s="3"/>
      <c r="I43" s="6"/>
      <c r="J43" s="6"/>
      <c r="K43" s="6"/>
    </row>
    <row r="44" spans="1:11">
      <c r="A44" s="2"/>
      <c r="B44" s="2"/>
      <c r="C44" s="2"/>
      <c r="D44" s="2"/>
      <c r="E44" s="2"/>
      <c r="F44" s="3"/>
      <c r="G44" s="3"/>
      <c r="H44" s="3"/>
      <c r="I44" s="6"/>
      <c r="J44" s="6"/>
      <c r="K44" s="6"/>
    </row>
    <row r="45" spans="1:11">
      <c r="A45" s="2"/>
      <c r="B45" s="2"/>
      <c r="C45" s="2"/>
      <c r="D45" s="2"/>
      <c r="E45" s="2"/>
      <c r="F45" s="3"/>
      <c r="G45" s="3"/>
      <c r="H45" s="3"/>
      <c r="I45" s="6"/>
      <c r="J45" s="6"/>
      <c r="K45" s="6"/>
    </row>
    <row r="46" spans="1:11">
      <c r="A46" s="2"/>
      <c r="B46" s="2"/>
      <c r="C46" s="2"/>
      <c r="D46" s="2"/>
      <c r="E46" s="2"/>
      <c r="F46" s="3"/>
      <c r="G46" s="3"/>
      <c r="H46" s="3"/>
      <c r="I46" s="6"/>
      <c r="J46" s="6"/>
      <c r="K46" s="6"/>
    </row>
    <row r="47" spans="1:11">
      <c r="A47" s="2"/>
      <c r="B47" s="2"/>
      <c r="C47" s="2"/>
      <c r="D47" s="2"/>
      <c r="E47" s="2"/>
      <c r="F47" s="3"/>
      <c r="G47" s="3"/>
      <c r="H47" s="3"/>
      <c r="I47" s="6"/>
      <c r="J47" s="6"/>
      <c r="K47" s="6"/>
    </row>
    <row r="48" spans="1:11">
      <c r="A48" s="2"/>
      <c r="B48" s="2"/>
      <c r="C48" s="2"/>
      <c r="D48" s="2"/>
      <c r="E48" s="2"/>
      <c r="F48" s="3"/>
      <c r="G48" s="3"/>
      <c r="H48" s="3"/>
      <c r="I48" s="6"/>
      <c r="J48" s="6"/>
      <c r="K48" s="6"/>
    </row>
    <row r="49" spans="1:11">
      <c r="A49" s="2"/>
      <c r="B49" s="2"/>
      <c r="C49" s="2"/>
      <c r="D49" s="2"/>
      <c r="E49" s="2"/>
      <c r="F49" s="3"/>
      <c r="G49" s="3"/>
      <c r="H49" s="3"/>
      <c r="I49" s="6"/>
      <c r="J49" s="6"/>
      <c r="K49" s="6"/>
    </row>
    <row r="50" spans="1:11">
      <c r="A50" s="2"/>
      <c r="B50" s="2"/>
      <c r="C50" s="2"/>
      <c r="D50" s="2"/>
      <c r="E50" s="2"/>
      <c r="F50" s="3"/>
      <c r="G50" s="3"/>
      <c r="H50" s="3"/>
      <c r="I50" s="6"/>
      <c r="J50" s="6"/>
      <c r="K50" s="6"/>
    </row>
    <row r="51" spans="1:11">
      <c r="A51" s="2"/>
      <c r="B51" s="2"/>
      <c r="C51" s="2"/>
      <c r="D51" s="2"/>
      <c r="E51" s="2"/>
      <c r="F51" s="3"/>
      <c r="G51" s="3"/>
      <c r="H51" s="3"/>
      <c r="I51" s="6"/>
      <c r="J51" s="6"/>
      <c r="K51" s="6"/>
    </row>
    <row r="52" spans="1:11">
      <c r="A52" s="2"/>
      <c r="B52" s="2"/>
      <c r="C52" s="2"/>
      <c r="D52" s="2"/>
      <c r="E52" s="2"/>
      <c r="F52" s="3"/>
      <c r="G52" s="3"/>
      <c r="H52" s="3"/>
      <c r="I52" s="6"/>
      <c r="J52" s="6"/>
      <c r="K52" s="6"/>
    </row>
    <row r="53" spans="1:11">
      <c r="A53" s="2"/>
      <c r="B53" s="2"/>
      <c r="C53" s="2"/>
      <c r="D53" s="2"/>
      <c r="E53" s="2"/>
      <c r="F53" s="3"/>
      <c r="G53" s="3"/>
      <c r="H53" s="3"/>
      <c r="I53" s="3"/>
      <c r="J53" s="3"/>
      <c r="K53" s="3"/>
    </row>
    <row r="54" spans="1:11">
      <c r="A54" s="2"/>
      <c r="B54" s="2"/>
      <c r="C54" s="2"/>
      <c r="D54" s="2"/>
      <c r="E54" s="2"/>
      <c r="F54" s="3"/>
      <c r="G54" s="3"/>
      <c r="H54" s="3"/>
      <c r="I54" s="3"/>
      <c r="J54" s="3"/>
      <c r="K54" s="3"/>
    </row>
    <row r="55" spans="1:11">
      <c r="A55" s="2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10</vt:i4>
      </vt:variant>
    </vt:vector>
  </HeadingPairs>
  <TitlesOfParts>
    <vt:vector size="37" baseType="lpstr">
      <vt:lpstr>DEFINES</vt:lpstr>
      <vt:lpstr>(1) General Hint</vt:lpstr>
      <vt:lpstr>(2) General Msg</vt:lpstr>
      <vt:lpstr>(3) General Alarm</vt:lpstr>
      <vt:lpstr>(4) General IO</vt:lpstr>
      <vt:lpstr>(330) Safety Ctrl </vt:lpstr>
      <vt:lpstr>(10121) Station 1 Control</vt:lpstr>
      <vt:lpstr>(100000) Startup</vt:lpstr>
      <vt:lpstr>(100001) IPC</vt:lpstr>
      <vt:lpstr>(10030x) SafetyPlcTermDiag</vt:lpstr>
      <vt:lpstr>(1003xx) SafetyIODeviceDiag</vt:lpstr>
      <vt:lpstr>(1010xx) NC Axis</vt:lpstr>
      <vt:lpstr>(10120x) NCI Group</vt:lpstr>
      <vt:lpstr>(10121x) KIN Group</vt:lpstr>
      <vt:lpstr>(10122x) XTS Group</vt:lpstr>
      <vt:lpstr>(10123x) CA Group</vt:lpstr>
      <vt:lpstr>(10124x) PP Group</vt:lpstr>
      <vt:lpstr>(1020xx) SoE Drive</vt:lpstr>
      <vt:lpstr>(1022xx) CoE Drive</vt:lpstr>
      <vt:lpstr>(1024xx) Hydrauik Drive </vt:lpstr>
      <vt:lpstr>(1026xx) Stepper Drive</vt:lpstr>
      <vt:lpstr>(1027xx) DC Drive</vt:lpstr>
      <vt:lpstr>(10300x) EtherCAT Master</vt:lpstr>
      <vt:lpstr>(10301x) CanOpen Master</vt:lpstr>
      <vt:lpstr>(10302x) Profibus Master</vt:lpstr>
      <vt:lpstr>(10303x) Profinet Master</vt:lpstr>
      <vt:lpstr>(10305x) Sercos Master</vt:lpstr>
      <vt:lpstr>'(1022xx) CoE Drive'!output</vt:lpstr>
      <vt:lpstr>TCEVENTCLASS_ALARM</vt:lpstr>
      <vt:lpstr>TCEVENTCLASS_INSTRUCTION</vt:lpstr>
      <vt:lpstr>TCEVENTCLASS_MAINTENANCE</vt:lpstr>
      <vt:lpstr>TCEVENTCLASS_MESSAGE</vt:lpstr>
      <vt:lpstr>TCEVENTCLASS_NONE</vt:lpstr>
      <vt:lpstr>TCEVENTCLASS_PARAMERROR</vt:lpstr>
      <vt:lpstr>TCEVENTCLASS_STATEINFO</vt:lpstr>
      <vt:lpstr>TCEVENTCLASS_WARNING</vt:lpstr>
      <vt:lpstr>TCEVENTCLASSS_HINT</vt:lpstr>
    </vt:vector>
  </TitlesOfParts>
  <Company>Beckhoff Automation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ExcelToEventlogger</dc:title>
  <dc:creator>Jens Hülsebusch</dc:creator>
  <cp:lastModifiedBy>Daniel Schlingmann</cp:lastModifiedBy>
  <cp:lastPrinted>2015-02-12T16:29:29Z</cp:lastPrinted>
  <dcterms:created xsi:type="dcterms:W3CDTF">2009-10-09T09:19:19Z</dcterms:created>
  <dcterms:modified xsi:type="dcterms:W3CDTF">2024-04-16T11:59:07Z</dcterms:modified>
  <cp:contentStatus>V1.1</cp:contentStatus>
</cp:coreProperties>
</file>